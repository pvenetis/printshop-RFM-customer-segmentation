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AA\EXCELCNV\68859967-fa6e-424f-b077-35c8a57979f7\"/>
    </mc:Choice>
  </mc:AlternateContent>
  <xr:revisionPtr revIDLastSave="0" documentId="8_{85486644-8A98-4B1C-A6D8-DD1AD3CB81F5}" xr6:coauthVersionLast="47" xr6:coauthVersionMax="47" xr10:uidLastSave="{00000000-0000-0000-0000-000000000000}"/>
  <bookViews>
    <workbookView xWindow="-60" yWindow="-60" windowWidth="15480" windowHeight="11640" firstSheet="1" activeTab="1" xr2:uid="{9115FE19-813C-42FA-B55C-1ABF14E1DB9B}"/>
  </bookViews>
  <sheets>
    <sheet name="print_shop_orders" sheetId="1" r:id="rId1"/>
    <sheet name="pivot1" sheetId="2" r:id="rId2"/>
    <sheet name="RFM_Calculations" sheetId="3" r:id="rId3"/>
    <sheet name="RFM_Category Aggregation" sheetId="4" r:id="rId4"/>
  </sheets>
  <calcPr calcId="191028"/>
  <pivotCaches>
    <pivotCache cacheId="6809" r:id="rId5"/>
    <pivotCache cacheId="68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 a="1"/>
  <c r="E3" i="3"/>
  <c r="E4" i="3" a="1"/>
  <c r="E4" i="3"/>
  <c r="E5" i="3" a="1"/>
  <c r="E5" i="3"/>
  <c r="E6" i="3" a="1"/>
  <c r="E6" i="3"/>
  <c r="E7" i="3" a="1"/>
  <c r="E7" i="3"/>
  <c r="E8" i="3" a="1"/>
  <c r="E8" i="3"/>
  <c r="E9" i="3" a="1"/>
  <c r="E9" i="3"/>
  <c r="E10" i="3" a="1"/>
  <c r="E10" i="3"/>
  <c r="E11" i="3" a="1"/>
  <c r="E11" i="3"/>
  <c r="E12" i="3" a="1"/>
  <c r="E12" i="3"/>
  <c r="E13" i="3" a="1"/>
  <c r="E13" i="3"/>
  <c r="E14" i="3" a="1"/>
  <c r="E14" i="3"/>
  <c r="E15" i="3" a="1"/>
  <c r="E15" i="3"/>
  <c r="E16" i="3" a="1"/>
  <c r="E16" i="3"/>
  <c r="E17" i="3" a="1"/>
  <c r="E17" i="3"/>
  <c r="E18" i="3" a="1"/>
  <c r="E18" i="3"/>
  <c r="E19" i="3" a="1"/>
  <c r="E19" i="3"/>
  <c r="E20" i="3" a="1"/>
  <c r="E20" i="3"/>
  <c r="E21" i="3" a="1"/>
  <c r="E21" i="3"/>
  <c r="E22" i="3" a="1"/>
  <c r="E22" i="3"/>
  <c r="E23" i="3" a="1"/>
  <c r="E23" i="3"/>
  <c r="E24" i="3" a="1"/>
  <c r="E24" i="3"/>
  <c r="E25" i="3" a="1"/>
  <c r="E25" i="3"/>
  <c r="E26" i="3" a="1"/>
  <c r="E26" i="3"/>
  <c r="E27" i="3" a="1"/>
  <c r="E27" i="3"/>
  <c r="E28" i="3" a="1"/>
  <c r="E28" i="3"/>
  <c r="E29" i="3" a="1"/>
  <c r="E29" i="3"/>
  <c r="E30" i="3" a="1"/>
  <c r="E30" i="3"/>
  <c r="E31" i="3" a="1"/>
  <c r="E31" i="3"/>
  <c r="E32" i="3" a="1"/>
  <c r="E32" i="3"/>
  <c r="E33" i="3" a="1"/>
  <c r="E33" i="3"/>
  <c r="E34" i="3" a="1"/>
  <c r="E34" i="3"/>
  <c r="E35" i="3" a="1"/>
  <c r="E35" i="3"/>
  <c r="E36" i="3" a="1"/>
  <c r="E36" i="3"/>
  <c r="E37" i="3" a="1"/>
  <c r="E37" i="3"/>
  <c r="E38" i="3" a="1"/>
  <c r="E38" i="3"/>
  <c r="E39" i="3" a="1"/>
  <c r="E39" i="3"/>
  <c r="E40" i="3" a="1"/>
  <c r="E40" i="3"/>
  <c r="E41" i="3" a="1"/>
  <c r="E41" i="3"/>
  <c r="E42" i="3" a="1"/>
  <c r="E42" i="3"/>
  <c r="E43" i="3" a="1"/>
  <c r="E43" i="3"/>
  <c r="E44" i="3" a="1"/>
  <c r="E44" i="3"/>
  <c r="E45" i="3" a="1"/>
  <c r="E45" i="3"/>
  <c r="E46" i="3" a="1"/>
  <c r="E46" i="3"/>
  <c r="E47" i="3" a="1"/>
  <c r="E47" i="3"/>
  <c r="E48" i="3" a="1"/>
  <c r="E48" i="3"/>
  <c r="E49" i="3" a="1"/>
  <c r="E49" i="3"/>
  <c r="E50" i="3" a="1"/>
  <c r="E50" i="3"/>
  <c r="E51" i="3" a="1"/>
  <c r="E51" i="3"/>
  <c r="E52" i="3" a="1"/>
  <c r="E52" i="3"/>
  <c r="E53" i="3" a="1"/>
  <c r="E53" i="3"/>
  <c r="E54" i="3" a="1"/>
  <c r="E54" i="3"/>
  <c r="E55" i="3" a="1"/>
  <c r="E55" i="3"/>
  <c r="E56" i="3" a="1"/>
  <c r="E56" i="3"/>
  <c r="E57" i="3" a="1"/>
  <c r="E57" i="3"/>
  <c r="E58" i="3" a="1"/>
  <c r="E58" i="3"/>
  <c r="E59" i="3" a="1"/>
  <c r="E59" i="3"/>
  <c r="E60" i="3" a="1"/>
  <c r="E60" i="3"/>
  <c r="E61" i="3" a="1"/>
  <c r="E61" i="3"/>
  <c r="E62" i="3" a="1"/>
  <c r="E62" i="3"/>
  <c r="E63" i="3" a="1"/>
  <c r="E63" i="3"/>
  <c r="E64" i="3" a="1"/>
  <c r="E64" i="3"/>
  <c r="E65" i="3" a="1"/>
  <c r="E65" i="3"/>
  <c r="E66" i="3" a="1"/>
  <c r="E66" i="3"/>
  <c r="E67" i="3" a="1"/>
  <c r="E67" i="3"/>
  <c r="E68" i="3" a="1"/>
  <c r="E68" i="3"/>
  <c r="E69" i="3" a="1"/>
  <c r="E69" i="3"/>
  <c r="E70" i="3" a="1"/>
  <c r="E70" i="3"/>
  <c r="E71" i="3" a="1"/>
  <c r="E71" i="3"/>
  <c r="E72" i="3" a="1"/>
  <c r="E72" i="3"/>
  <c r="E73" i="3" a="1"/>
  <c r="E73" i="3"/>
  <c r="E74" i="3" a="1"/>
  <c r="E74" i="3"/>
  <c r="E75" i="3" a="1"/>
  <c r="E75" i="3"/>
  <c r="E76" i="3" a="1"/>
  <c r="E76" i="3"/>
  <c r="E77" i="3" a="1"/>
  <c r="E77" i="3"/>
  <c r="E78" i="3" a="1"/>
  <c r="E78" i="3"/>
  <c r="E79" i="3" a="1"/>
  <c r="E79" i="3"/>
  <c r="E80" i="3" a="1"/>
  <c r="E80" i="3"/>
  <c r="E81" i="3" a="1"/>
  <c r="E81" i="3"/>
  <c r="E82" i="3" a="1"/>
  <c r="E82" i="3"/>
  <c r="E83" i="3" a="1"/>
  <c r="E83" i="3"/>
  <c r="E84" i="3" a="1"/>
  <c r="E84" i="3"/>
  <c r="E85" i="3" a="1"/>
  <c r="E85" i="3"/>
  <c r="E86" i="3" a="1"/>
  <c r="E86" i="3"/>
  <c r="E87" i="3" a="1"/>
  <c r="E87" i="3"/>
  <c r="E88" i="3" a="1"/>
  <c r="E88" i="3"/>
  <c r="E89" i="3" a="1"/>
  <c r="E89" i="3"/>
  <c r="E90" i="3" a="1"/>
  <c r="E90" i="3"/>
  <c r="E91" i="3" a="1"/>
  <c r="E91" i="3"/>
  <c r="E92" i="3" a="1"/>
  <c r="E92" i="3"/>
  <c r="E93" i="3" a="1"/>
  <c r="E93" i="3"/>
  <c r="E94" i="3" a="1"/>
  <c r="E94" i="3"/>
  <c r="E95" i="3" a="1"/>
  <c r="E95" i="3"/>
  <c r="E96" i="3" a="1"/>
  <c r="E96" i="3"/>
  <c r="E97" i="3" a="1"/>
  <c r="E97" i="3"/>
  <c r="E98" i="3" a="1"/>
  <c r="E98" i="3"/>
  <c r="E99" i="3" a="1"/>
  <c r="E99" i="3"/>
  <c r="E100" i="3" a="1"/>
  <c r="E100" i="3"/>
  <c r="E101" i="3" a="1"/>
  <c r="E101" i="3"/>
  <c r="E102" i="3" a="1"/>
  <c r="E102" i="3"/>
  <c r="E103" i="3" a="1"/>
  <c r="E103" i="3"/>
  <c r="E104" i="3" a="1"/>
  <c r="E104" i="3"/>
  <c r="E105" i="3" a="1"/>
  <c r="E105" i="3"/>
  <c r="E106" i="3" a="1"/>
  <c r="E106" i="3"/>
  <c r="E107" i="3" a="1"/>
  <c r="E107" i="3"/>
  <c r="E108" i="3" a="1"/>
  <c r="E108" i="3"/>
  <c r="E109" i="3" a="1"/>
  <c r="E109" i="3"/>
  <c r="E110" i="3" a="1"/>
  <c r="E110" i="3"/>
  <c r="E111" i="3" a="1"/>
  <c r="E111" i="3"/>
  <c r="E112" i="3" a="1"/>
  <c r="E112" i="3"/>
  <c r="E113" i="3" a="1"/>
  <c r="E113" i="3"/>
  <c r="E114" i="3" a="1"/>
  <c r="E114" i="3"/>
  <c r="E115" i="3" a="1"/>
  <c r="E115" i="3"/>
  <c r="E116" i="3" a="1"/>
  <c r="E116" i="3"/>
  <c r="E117" i="3" a="1"/>
  <c r="E117" i="3"/>
  <c r="E118" i="3" a="1"/>
  <c r="E118" i="3"/>
  <c r="E119" i="3" a="1"/>
  <c r="E119" i="3"/>
  <c r="E120" i="3" a="1"/>
  <c r="E120" i="3"/>
  <c r="E121" i="3" a="1"/>
  <c r="E121" i="3"/>
  <c r="E122" i="3" a="1"/>
  <c r="E122" i="3"/>
  <c r="E123" i="3" a="1"/>
  <c r="E123" i="3"/>
  <c r="E124" i="3" a="1"/>
  <c r="E124" i="3"/>
  <c r="E125" i="3" a="1"/>
  <c r="E125" i="3"/>
  <c r="E126" i="3" a="1"/>
  <c r="E126" i="3"/>
  <c r="E127" i="3" a="1"/>
  <c r="E127" i="3"/>
  <c r="E128" i="3" a="1"/>
  <c r="E128" i="3"/>
  <c r="E129" i="3" a="1"/>
  <c r="E129" i="3"/>
  <c r="E130" i="3" a="1"/>
  <c r="E130" i="3"/>
  <c r="E131" i="3" a="1"/>
  <c r="E131" i="3"/>
  <c r="E132" i="3" a="1"/>
  <c r="E132" i="3"/>
  <c r="E133" i="3" a="1"/>
  <c r="E133" i="3"/>
  <c r="E134" i="3" a="1"/>
  <c r="E134" i="3"/>
  <c r="E135" i="3" a="1"/>
  <c r="E135" i="3"/>
  <c r="E136" i="3" a="1"/>
  <c r="E136" i="3"/>
  <c r="E137" i="3" a="1"/>
  <c r="E137" i="3"/>
  <c r="E138" i="3" a="1"/>
  <c r="E138" i="3"/>
  <c r="E139" i="3" a="1"/>
  <c r="E139" i="3"/>
  <c r="E140" i="3" a="1"/>
  <c r="E140" i="3"/>
  <c r="E141" i="3" a="1"/>
  <c r="E141" i="3"/>
  <c r="E142" i="3" a="1"/>
  <c r="E142" i="3"/>
  <c r="E143" i="3" a="1"/>
  <c r="E143" i="3"/>
  <c r="E144" i="3" a="1"/>
  <c r="E144" i="3"/>
  <c r="E145" i="3" a="1"/>
  <c r="E145" i="3"/>
  <c r="E146" i="3" a="1"/>
  <c r="E146" i="3"/>
  <c r="E147" i="3" a="1"/>
  <c r="E147" i="3"/>
  <c r="E148" i="3" a="1"/>
  <c r="E148" i="3"/>
  <c r="E149" i="3" a="1"/>
  <c r="E149" i="3"/>
  <c r="E150" i="3" a="1"/>
  <c r="E150" i="3"/>
  <c r="E151" i="3" a="1"/>
  <c r="E151" i="3"/>
  <c r="E152" i="3" a="1"/>
  <c r="E152" i="3"/>
  <c r="E153" i="3" a="1"/>
  <c r="E153" i="3"/>
  <c r="E154" i="3" a="1"/>
  <c r="E154" i="3"/>
  <c r="E155" i="3" a="1"/>
  <c r="E155" i="3"/>
  <c r="E156" i="3" a="1"/>
  <c r="E156" i="3"/>
  <c r="E157" i="3" a="1"/>
  <c r="E157" i="3"/>
  <c r="E158" i="3" a="1"/>
  <c r="E158" i="3"/>
  <c r="E159" i="3" a="1"/>
  <c r="E159" i="3"/>
  <c r="E160" i="3" a="1"/>
  <c r="E160" i="3"/>
  <c r="E161" i="3" a="1"/>
  <c r="E161" i="3"/>
  <c r="E162" i="3" a="1"/>
  <c r="E162" i="3"/>
  <c r="E163" i="3" a="1"/>
  <c r="E163" i="3"/>
  <c r="E164" i="3" a="1"/>
  <c r="E164" i="3"/>
  <c r="E165" i="3" a="1"/>
  <c r="E165" i="3"/>
  <c r="E166" i="3" a="1"/>
  <c r="E166" i="3"/>
  <c r="E167" i="3" a="1"/>
  <c r="E167" i="3"/>
  <c r="E168" i="3" a="1"/>
  <c r="E168" i="3"/>
  <c r="E169" i="3" a="1"/>
  <c r="E169" i="3"/>
  <c r="E170" i="3" a="1"/>
  <c r="E170" i="3"/>
  <c r="E171" i="3" a="1"/>
  <c r="E171" i="3"/>
  <c r="E172" i="3" a="1"/>
  <c r="E172" i="3"/>
  <c r="E173" i="3" a="1"/>
  <c r="E173" i="3"/>
  <c r="E174" i="3" a="1"/>
  <c r="E174" i="3"/>
  <c r="E175" i="3" a="1"/>
  <c r="E175" i="3"/>
  <c r="E176" i="3" a="1"/>
  <c r="E176" i="3"/>
  <c r="E177" i="3" a="1"/>
  <c r="E177" i="3"/>
  <c r="E178" i="3" a="1"/>
  <c r="E178" i="3"/>
  <c r="E179" i="3" a="1"/>
  <c r="E179" i="3"/>
  <c r="E180" i="3" a="1"/>
  <c r="E180" i="3"/>
  <c r="E181" i="3" a="1"/>
  <c r="E181" i="3"/>
  <c r="E182" i="3" a="1"/>
  <c r="E182" i="3"/>
  <c r="E183" i="3" a="1"/>
  <c r="E183" i="3"/>
  <c r="E184" i="3" a="1"/>
  <c r="E184" i="3"/>
  <c r="E185" i="3" a="1"/>
  <c r="E185" i="3"/>
  <c r="E186" i="3" a="1"/>
  <c r="E186" i="3"/>
  <c r="E187" i="3" a="1"/>
  <c r="E187" i="3"/>
  <c r="E188" i="3" a="1"/>
  <c r="E188" i="3"/>
  <c r="E189" i="3" a="1"/>
  <c r="E189" i="3"/>
  <c r="E190" i="3" a="1"/>
  <c r="E190" i="3"/>
  <c r="E191" i="3" a="1"/>
  <c r="E191" i="3"/>
  <c r="E192" i="3" a="1"/>
  <c r="E192" i="3"/>
  <c r="E193" i="3" a="1"/>
  <c r="E193" i="3"/>
  <c r="E194" i="3" a="1"/>
  <c r="E194" i="3"/>
  <c r="E195" i="3" a="1"/>
  <c r="E195" i="3"/>
  <c r="E196" i="3" a="1"/>
  <c r="E196" i="3"/>
  <c r="E197" i="3" a="1"/>
  <c r="E197" i="3"/>
  <c r="E198" i="3" a="1"/>
  <c r="E198" i="3"/>
  <c r="E199" i="3" a="1"/>
  <c r="E199" i="3"/>
  <c r="E200" i="3" a="1"/>
  <c r="E200" i="3"/>
  <c r="E201" i="3" a="1"/>
  <c r="E201" i="3"/>
  <c r="E202" i="3" a="1"/>
  <c r="E202" i="3"/>
  <c r="E203" i="3" a="1"/>
  <c r="E203" i="3"/>
  <c r="E204" i="3" a="1"/>
  <c r="E204" i="3"/>
  <c r="E205" i="3" a="1"/>
  <c r="E205" i="3"/>
  <c r="E206" i="3" a="1"/>
  <c r="E206" i="3"/>
  <c r="E207" i="3" a="1"/>
  <c r="E207" i="3"/>
  <c r="E208" i="3" a="1"/>
  <c r="E208" i="3"/>
  <c r="E209" i="3" a="1"/>
  <c r="E209" i="3"/>
  <c r="E210" i="3" a="1"/>
  <c r="E210" i="3"/>
  <c r="E211" i="3" a="1"/>
  <c r="E211" i="3"/>
  <c r="E212" i="3" a="1"/>
  <c r="E212" i="3"/>
  <c r="E213" i="3" a="1"/>
  <c r="E213" i="3"/>
  <c r="E214" i="3" a="1"/>
  <c r="E214" i="3"/>
  <c r="E215" i="3" a="1"/>
  <c r="E215" i="3"/>
  <c r="E216" i="3" a="1"/>
  <c r="E216" i="3"/>
  <c r="E217" i="3" a="1"/>
  <c r="E217" i="3"/>
  <c r="E218" i="3" a="1"/>
  <c r="E218" i="3"/>
  <c r="E219" i="3" a="1"/>
  <c r="E219" i="3"/>
  <c r="E220" i="3" a="1"/>
  <c r="E220" i="3"/>
  <c r="E221" i="3" a="1"/>
  <c r="E221" i="3"/>
  <c r="E222" i="3" a="1"/>
  <c r="E222" i="3"/>
  <c r="E223" i="3" a="1"/>
  <c r="E223" i="3"/>
  <c r="E224" i="3" a="1"/>
  <c r="E224" i="3"/>
  <c r="E225" i="3" a="1"/>
  <c r="E225" i="3"/>
  <c r="E226" i="3" a="1"/>
  <c r="E226" i="3"/>
  <c r="E227" i="3" a="1"/>
  <c r="E227" i="3"/>
  <c r="E228" i="3" a="1"/>
  <c r="E228" i="3"/>
  <c r="E229" i="3" a="1"/>
  <c r="E229" i="3"/>
  <c r="E230" i="3" a="1"/>
  <c r="E230" i="3"/>
  <c r="E231" i="3" a="1"/>
  <c r="E231" i="3"/>
  <c r="E232" i="3" a="1"/>
  <c r="E232" i="3"/>
  <c r="E233" i="3" a="1"/>
  <c r="E233" i="3"/>
  <c r="E234" i="3" a="1"/>
  <c r="E234" i="3"/>
  <c r="E235" i="3" a="1"/>
  <c r="E235" i="3"/>
  <c r="E236" i="3" a="1"/>
  <c r="E236" i="3"/>
  <c r="E237" i="3" a="1"/>
  <c r="E237" i="3"/>
  <c r="E238" i="3" a="1"/>
  <c r="E238" i="3"/>
  <c r="E239" i="3" a="1"/>
  <c r="E239" i="3"/>
  <c r="E240" i="3" a="1"/>
  <c r="E240" i="3"/>
  <c r="E241" i="3" a="1"/>
  <c r="E241" i="3"/>
  <c r="E242" i="3" a="1"/>
  <c r="E242" i="3"/>
  <c r="E243" i="3" a="1"/>
  <c r="E243" i="3"/>
  <c r="E244" i="3" a="1"/>
  <c r="E244" i="3"/>
  <c r="E245" i="3" a="1"/>
  <c r="E245" i="3"/>
  <c r="E246" i="3" a="1"/>
  <c r="E246" i="3"/>
  <c r="E247" i="3" a="1"/>
  <c r="E247" i="3"/>
  <c r="E248" i="3" a="1"/>
  <c r="E248" i="3"/>
  <c r="E249" i="3" a="1"/>
  <c r="E249" i="3"/>
  <c r="E250" i="3" a="1"/>
  <c r="E250" i="3"/>
  <c r="E251" i="3" a="1"/>
  <c r="E251" i="3"/>
  <c r="E252" i="3" a="1"/>
  <c r="E252" i="3"/>
  <c r="E253" i="3" a="1"/>
  <c r="E253" i="3"/>
  <c r="E254" i="3" a="1"/>
  <c r="E254" i="3"/>
  <c r="E255" i="3" a="1"/>
  <c r="E255" i="3"/>
  <c r="E256" i="3" a="1"/>
  <c r="E256" i="3"/>
  <c r="E257" i="3" a="1"/>
  <c r="E257" i="3"/>
  <c r="E258" i="3" a="1"/>
  <c r="E258" i="3"/>
  <c r="E259" i="3" a="1"/>
  <c r="E259" i="3"/>
  <c r="E260" i="3" a="1"/>
  <c r="E260" i="3"/>
  <c r="E261" i="3" a="1"/>
  <c r="E261" i="3"/>
  <c r="E262" i="3" a="1"/>
  <c r="E262" i="3"/>
  <c r="E263" i="3" a="1"/>
  <c r="E263" i="3"/>
  <c r="E264" i="3" a="1"/>
  <c r="E264" i="3"/>
  <c r="E265" i="3" a="1"/>
  <c r="E265" i="3"/>
  <c r="E266" i="3" a="1"/>
  <c r="E266" i="3"/>
  <c r="E267" i="3" a="1"/>
  <c r="E267" i="3"/>
  <c r="E268" i="3" a="1"/>
  <c r="E268" i="3"/>
  <c r="E269" i="3" a="1"/>
  <c r="E269" i="3"/>
  <c r="E270" i="3" a="1"/>
  <c r="E270" i="3"/>
  <c r="E271" i="3" a="1"/>
  <c r="E271" i="3"/>
  <c r="E272" i="3" a="1"/>
  <c r="E272" i="3"/>
  <c r="E273" i="3" a="1"/>
  <c r="E273" i="3"/>
  <c r="E274" i="3" a="1"/>
  <c r="E274" i="3"/>
  <c r="E275" i="3" a="1"/>
  <c r="E275" i="3"/>
  <c r="E276" i="3" a="1"/>
  <c r="E276" i="3"/>
  <c r="E277" i="3" a="1"/>
  <c r="E277" i="3"/>
  <c r="E278" i="3" a="1"/>
  <c r="E278" i="3"/>
  <c r="E279" i="3" a="1"/>
  <c r="E279" i="3"/>
  <c r="E280" i="3" a="1"/>
  <c r="E280" i="3"/>
  <c r="E281" i="3" a="1"/>
  <c r="E281" i="3"/>
  <c r="E282" i="3" a="1"/>
  <c r="E282" i="3"/>
  <c r="E283" i="3" a="1"/>
  <c r="E283" i="3"/>
  <c r="E284" i="3" a="1"/>
  <c r="E284" i="3"/>
  <c r="E285" i="3" a="1"/>
  <c r="E285" i="3"/>
  <c r="E286" i="3" a="1"/>
  <c r="E286" i="3"/>
  <c r="E287" i="3" a="1"/>
  <c r="E287" i="3"/>
  <c r="E288" i="3" a="1"/>
  <c r="E288" i="3"/>
  <c r="E2" i="3" a="1"/>
  <c r="E2" i="3"/>
  <c r="H3" i="3"/>
  <c r="I3" i="3" s="1" a="1"/>
  <c r="I3" i="3" s="1"/>
  <c r="H4" i="3"/>
  <c r="I4" i="3" s="1" a="1"/>
  <c r="I4" i="3" s="1"/>
  <c r="H5" i="3"/>
  <c r="I5" i="3" s="1" a="1"/>
  <c r="I5" i="3" s="1"/>
  <c r="H6" i="3"/>
  <c r="I6" i="3" s="1" a="1"/>
  <c r="I6" i="3" s="1"/>
  <c r="H7" i="3"/>
  <c r="I7" i="3" s="1" a="1"/>
  <c r="I7" i="3" s="1"/>
  <c r="H8" i="3"/>
  <c r="I8" i="3" s="1" a="1"/>
  <c r="I8" i="3" s="1"/>
  <c r="H9" i="3"/>
  <c r="I9" i="3" s="1" a="1"/>
  <c r="I9" i="3" s="1"/>
  <c r="H10" i="3"/>
  <c r="I10" i="3" s="1" a="1"/>
  <c r="I10" i="3" s="1"/>
  <c r="H11" i="3"/>
  <c r="I11" i="3" s="1" a="1"/>
  <c r="I11" i="3" s="1"/>
  <c r="H12" i="3"/>
  <c r="I12" i="3" s="1" a="1"/>
  <c r="I12" i="3" s="1"/>
  <c r="H13" i="3"/>
  <c r="I13" i="3" s="1" a="1"/>
  <c r="I13" i="3" s="1"/>
  <c r="H14" i="3"/>
  <c r="I14" i="3" s="1" a="1"/>
  <c r="I14" i="3" s="1"/>
  <c r="H15" i="3"/>
  <c r="I15" i="3" s="1" a="1"/>
  <c r="I15" i="3" s="1"/>
  <c r="H16" i="3"/>
  <c r="I16" i="3" s="1" a="1"/>
  <c r="I16" i="3" s="1"/>
  <c r="H17" i="3"/>
  <c r="I17" i="3" s="1" a="1"/>
  <c r="I17" i="3" s="1"/>
  <c r="H18" i="3"/>
  <c r="I18" i="3" s="1" a="1"/>
  <c r="I18" i="3" s="1"/>
  <c r="H19" i="3"/>
  <c r="I19" i="3" s="1" a="1"/>
  <c r="I19" i="3" s="1"/>
  <c r="H20" i="3"/>
  <c r="I20" i="3" s="1" a="1"/>
  <c r="I20" i="3" s="1"/>
  <c r="H21" i="3"/>
  <c r="I21" i="3" s="1" a="1"/>
  <c r="I21" i="3" s="1"/>
  <c r="H22" i="3"/>
  <c r="I22" i="3" s="1" a="1"/>
  <c r="I22" i="3" s="1"/>
  <c r="H23" i="3"/>
  <c r="I23" i="3" s="1" a="1"/>
  <c r="I23" i="3" s="1"/>
  <c r="H24" i="3"/>
  <c r="I24" i="3" s="1" a="1"/>
  <c r="I24" i="3" s="1"/>
  <c r="H25" i="3"/>
  <c r="I25" i="3" s="1" a="1"/>
  <c r="I25" i="3" s="1"/>
  <c r="H26" i="3"/>
  <c r="I26" i="3" s="1" a="1"/>
  <c r="I26" i="3" s="1"/>
  <c r="H27" i="3"/>
  <c r="I27" i="3" s="1" a="1"/>
  <c r="I27" i="3" s="1"/>
  <c r="H28" i="3"/>
  <c r="I28" i="3" s="1" a="1"/>
  <c r="I28" i="3" s="1"/>
  <c r="H29" i="3"/>
  <c r="I29" i="3" s="1" a="1"/>
  <c r="I29" i="3" s="1"/>
  <c r="H30" i="3"/>
  <c r="I30" i="3" s="1" a="1"/>
  <c r="I30" i="3" s="1"/>
  <c r="H31" i="3"/>
  <c r="I31" i="3" s="1" a="1"/>
  <c r="I31" i="3" s="1"/>
  <c r="H32" i="3"/>
  <c r="I32" i="3" s="1" a="1"/>
  <c r="I32" i="3" s="1"/>
  <c r="H33" i="3"/>
  <c r="I33" i="3" s="1" a="1"/>
  <c r="I33" i="3" s="1"/>
  <c r="H34" i="3"/>
  <c r="I34" i="3" s="1" a="1"/>
  <c r="I34" i="3" s="1"/>
  <c r="H35" i="3"/>
  <c r="I35" i="3" s="1" a="1"/>
  <c r="I35" i="3" s="1"/>
  <c r="H36" i="3"/>
  <c r="I36" i="3" s="1" a="1"/>
  <c r="I36" i="3" s="1"/>
  <c r="H37" i="3"/>
  <c r="I37" i="3" s="1" a="1"/>
  <c r="I37" i="3" s="1"/>
  <c r="H38" i="3"/>
  <c r="I38" i="3" s="1" a="1"/>
  <c r="I38" i="3" s="1"/>
  <c r="H39" i="3"/>
  <c r="I39" i="3" s="1" a="1"/>
  <c r="I39" i="3" s="1"/>
  <c r="H40" i="3"/>
  <c r="I40" i="3" s="1" a="1"/>
  <c r="I40" i="3" s="1"/>
  <c r="H41" i="3"/>
  <c r="I41" i="3" s="1" a="1"/>
  <c r="I41" i="3" s="1"/>
  <c r="H42" i="3"/>
  <c r="I42" i="3" s="1" a="1"/>
  <c r="I42" i="3" s="1"/>
  <c r="H43" i="3"/>
  <c r="I43" i="3" s="1" a="1"/>
  <c r="I43" i="3" s="1"/>
  <c r="H44" i="3"/>
  <c r="I44" i="3" s="1" a="1"/>
  <c r="I44" i="3" s="1"/>
  <c r="H45" i="3"/>
  <c r="I45" i="3" s="1" a="1"/>
  <c r="I45" i="3" s="1"/>
  <c r="H46" i="3"/>
  <c r="I46" i="3" s="1" a="1"/>
  <c r="I46" i="3" s="1"/>
  <c r="H47" i="3"/>
  <c r="I47" i="3" s="1" a="1"/>
  <c r="I47" i="3" s="1"/>
  <c r="H48" i="3"/>
  <c r="I48" i="3" s="1" a="1"/>
  <c r="I48" i="3" s="1"/>
  <c r="H49" i="3"/>
  <c r="I49" i="3" s="1" a="1"/>
  <c r="I49" i="3" s="1"/>
  <c r="H50" i="3"/>
  <c r="I50" i="3" s="1" a="1"/>
  <c r="I50" i="3" s="1"/>
  <c r="H51" i="3"/>
  <c r="I51" i="3" s="1" a="1"/>
  <c r="I51" i="3" s="1"/>
  <c r="H52" i="3"/>
  <c r="I52" i="3" s="1" a="1"/>
  <c r="I52" i="3" s="1"/>
  <c r="H53" i="3"/>
  <c r="I53" i="3" s="1" a="1"/>
  <c r="I53" i="3" s="1"/>
  <c r="H54" i="3"/>
  <c r="I54" i="3" s="1" a="1"/>
  <c r="I54" i="3" s="1"/>
  <c r="H55" i="3"/>
  <c r="I55" i="3" s="1" a="1"/>
  <c r="I55" i="3" s="1"/>
  <c r="H56" i="3"/>
  <c r="I56" i="3" s="1" a="1"/>
  <c r="I56" i="3" s="1"/>
  <c r="H57" i="3"/>
  <c r="I57" i="3" s="1" a="1"/>
  <c r="I57" i="3" s="1"/>
  <c r="H58" i="3"/>
  <c r="I58" i="3" s="1" a="1"/>
  <c r="I58" i="3" s="1"/>
  <c r="H59" i="3"/>
  <c r="I59" i="3" s="1" a="1"/>
  <c r="I59" i="3" s="1"/>
  <c r="H60" i="3"/>
  <c r="I60" i="3" s="1" a="1"/>
  <c r="I60" i="3" s="1"/>
  <c r="H61" i="3"/>
  <c r="I61" i="3" s="1" a="1"/>
  <c r="I61" i="3" s="1"/>
  <c r="H62" i="3"/>
  <c r="I62" i="3" s="1" a="1"/>
  <c r="I62" i="3" s="1"/>
  <c r="H63" i="3"/>
  <c r="I63" i="3" s="1" a="1"/>
  <c r="I63" i="3" s="1"/>
  <c r="H64" i="3"/>
  <c r="I64" i="3" s="1" a="1"/>
  <c r="I64" i="3" s="1"/>
  <c r="H65" i="3"/>
  <c r="I65" i="3" s="1" a="1"/>
  <c r="I65" i="3" s="1"/>
  <c r="H66" i="3"/>
  <c r="I66" i="3" s="1" a="1"/>
  <c r="I66" i="3" s="1"/>
  <c r="H67" i="3"/>
  <c r="I67" i="3" s="1" a="1"/>
  <c r="I67" i="3" s="1"/>
  <c r="H68" i="3"/>
  <c r="I68" i="3" s="1" a="1"/>
  <c r="I68" i="3" s="1"/>
  <c r="H69" i="3"/>
  <c r="I69" i="3" s="1" a="1"/>
  <c r="I69" i="3" s="1"/>
  <c r="H70" i="3"/>
  <c r="I70" i="3" s="1" a="1"/>
  <c r="I70" i="3" s="1"/>
  <c r="H71" i="3"/>
  <c r="I71" i="3" s="1" a="1"/>
  <c r="I71" i="3" s="1"/>
  <c r="H72" i="3"/>
  <c r="I72" i="3" s="1" a="1"/>
  <c r="I72" i="3" s="1"/>
  <c r="H73" i="3"/>
  <c r="I73" i="3" s="1" a="1"/>
  <c r="I73" i="3" s="1"/>
  <c r="H74" i="3"/>
  <c r="I74" i="3" s="1" a="1"/>
  <c r="I74" i="3" s="1"/>
  <c r="H75" i="3"/>
  <c r="I75" i="3" s="1" a="1"/>
  <c r="I75" i="3" s="1"/>
  <c r="H76" i="3"/>
  <c r="I76" i="3" s="1" a="1"/>
  <c r="I76" i="3" s="1"/>
  <c r="H77" i="3"/>
  <c r="I77" i="3" s="1" a="1"/>
  <c r="I77" i="3" s="1"/>
  <c r="H78" i="3"/>
  <c r="I78" i="3" s="1" a="1"/>
  <c r="I78" i="3" s="1"/>
  <c r="H79" i="3"/>
  <c r="I79" i="3" s="1" a="1"/>
  <c r="I79" i="3" s="1"/>
  <c r="H80" i="3"/>
  <c r="I80" i="3" s="1" a="1"/>
  <c r="I80" i="3" s="1"/>
  <c r="H81" i="3"/>
  <c r="I81" i="3" s="1" a="1"/>
  <c r="I81" i="3" s="1"/>
  <c r="H82" i="3"/>
  <c r="I82" i="3" s="1" a="1"/>
  <c r="I82" i="3" s="1"/>
  <c r="H83" i="3"/>
  <c r="I83" i="3" s="1" a="1"/>
  <c r="I83" i="3" s="1"/>
  <c r="H84" i="3"/>
  <c r="I84" i="3" s="1" a="1"/>
  <c r="I84" i="3" s="1"/>
  <c r="H85" i="3"/>
  <c r="I85" i="3" s="1" a="1"/>
  <c r="I85" i="3" s="1"/>
  <c r="H86" i="3"/>
  <c r="I86" i="3" s="1" a="1"/>
  <c r="I86" i="3" s="1"/>
  <c r="H87" i="3"/>
  <c r="I87" i="3" s="1" a="1"/>
  <c r="I87" i="3" s="1"/>
  <c r="H88" i="3"/>
  <c r="I88" i="3" s="1" a="1"/>
  <c r="I88" i="3" s="1"/>
  <c r="H89" i="3"/>
  <c r="I89" i="3" s="1" a="1"/>
  <c r="I89" i="3" s="1"/>
  <c r="H90" i="3"/>
  <c r="I90" i="3" s="1" a="1"/>
  <c r="I90" i="3" s="1"/>
  <c r="H91" i="3"/>
  <c r="I91" i="3" s="1" a="1"/>
  <c r="I91" i="3" s="1"/>
  <c r="H92" i="3"/>
  <c r="I92" i="3" s="1" a="1"/>
  <c r="I92" i="3" s="1"/>
  <c r="H93" i="3"/>
  <c r="I93" i="3" s="1" a="1"/>
  <c r="I93" i="3" s="1"/>
  <c r="H94" i="3"/>
  <c r="I94" i="3" s="1" a="1"/>
  <c r="I94" i="3" s="1"/>
  <c r="H95" i="3"/>
  <c r="I95" i="3" s="1" a="1"/>
  <c r="I95" i="3" s="1"/>
  <c r="H96" i="3"/>
  <c r="I96" i="3" s="1" a="1"/>
  <c r="I96" i="3" s="1"/>
  <c r="H97" i="3"/>
  <c r="I97" i="3" s="1" a="1"/>
  <c r="I97" i="3" s="1"/>
  <c r="H98" i="3"/>
  <c r="I98" i="3" s="1" a="1"/>
  <c r="I98" i="3" s="1"/>
  <c r="H99" i="3"/>
  <c r="I99" i="3" s="1" a="1"/>
  <c r="I99" i="3" s="1"/>
  <c r="H100" i="3"/>
  <c r="I100" i="3" s="1" a="1"/>
  <c r="I100" i="3" s="1"/>
  <c r="H101" i="3"/>
  <c r="I101" i="3" s="1" a="1"/>
  <c r="I101" i="3" s="1"/>
  <c r="H102" i="3"/>
  <c r="I102" i="3" s="1" a="1"/>
  <c r="I102" i="3" s="1"/>
  <c r="H103" i="3"/>
  <c r="I103" i="3" s="1" a="1"/>
  <c r="I103" i="3" s="1"/>
  <c r="H104" i="3"/>
  <c r="I104" i="3" s="1" a="1"/>
  <c r="I104" i="3" s="1"/>
  <c r="H105" i="3"/>
  <c r="I105" i="3" s="1" a="1"/>
  <c r="I105" i="3" s="1"/>
  <c r="H106" i="3"/>
  <c r="I106" i="3" s="1" a="1"/>
  <c r="I106" i="3" s="1"/>
  <c r="H107" i="3"/>
  <c r="I107" i="3" s="1" a="1"/>
  <c r="I107" i="3" s="1"/>
  <c r="H108" i="3"/>
  <c r="I108" i="3" s="1" a="1"/>
  <c r="I108" i="3" s="1"/>
  <c r="H109" i="3"/>
  <c r="I109" i="3" s="1" a="1"/>
  <c r="I109" i="3" s="1"/>
  <c r="H110" i="3"/>
  <c r="I110" i="3" s="1" a="1"/>
  <c r="I110" i="3" s="1"/>
  <c r="H111" i="3"/>
  <c r="I111" i="3" s="1" a="1"/>
  <c r="I111" i="3" s="1"/>
  <c r="H112" i="3"/>
  <c r="I112" i="3" s="1" a="1"/>
  <c r="I112" i="3" s="1"/>
  <c r="H113" i="3"/>
  <c r="I113" i="3" s="1" a="1"/>
  <c r="I113" i="3" s="1"/>
  <c r="H114" i="3"/>
  <c r="I114" i="3" s="1" a="1"/>
  <c r="I114" i="3" s="1"/>
  <c r="H115" i="3"/>
  <c r="I115" i="3" s="1" a="1"/>
  <c r="I115" i="3" s="1"/>
  <c r="H116" i="3"/>
  <c r="I116" i="3" s="1" a="1"/>
  <c r="I116" i="3" s="1"/>
  <c r="H117" i="3"/>
  <c r="I117" i="3" s="1" a="1"/>
  <c r="I117" i="3" s="1"/>
  <c r="H118" i="3"/>
  <c r="I118" i="3" s="1" a="1"/>
  <c r="I118" i="3" s="1"/>
  <c r="H119" i="3"/>
  <c r="I119" i="3" s="1" a="1"/>
  <c r="I119" i="3" s="1"/>
  <c r="H120" i="3"/>
  <c r="I120" i="3" s="1" a="1"/>
  <c r="I120" i="3" s="1"/>
  <c r="H121" i="3"/>
  <c r="I121" i="3" s="1" a="1"/>
  <c r="I121" i="3" s="1"/>
  <c r="H122" i="3"/>
  <c r="I122" i="3" s="1" a="1"/>
  <c r="I122" i="3" s="1"/>
  <c r="H123" i="3"/>
  <c r="I123" i="3" s="1" a="1"/>
  <c r="I123" i="3" s="1"/>
  <c r="H124" i="3"/>
  <c r="I124" i="3" s="1" a="1"/>
  <c r="I124" i="3" s="1"/>
  <c r="H125" i="3"/>
  <c r="I125" i="3" s="1" a="1"/>
  <c r="I125" i="3" s="1"/>
  <c r="H126" i="3"/>
  <c r="I126" i="3" s="1" a="1"/>
  <c r="I126" i="3" s="1"/>
  <c r="H127" i="3"/>
  <c r="I127" i="3" s="1" a="1"/>
  <c r="I127" i="3" s="1"/>
  <c r="H128" i="3"/>
  <c r="I128" i="3" s="1" a="1"/>
  <c r="I128" i="3" s="1"/>
  <c r="H129" i="3"/>
  <c r="I129" i="3" s="1" a="1"/>
  <c r="I129" i="3" s="1"/>
  <c r="H130" i="3"/>
  <c r="I130" i="3" s="1" a="1"/>
  <c r="I130" i="3" s="1"/>
  <c r="H131" i="3"/>
  <c r="I131" i="3" s="1" a="1"/>
  <c r="I131" i="3" s="1"/>
  <c r="H132" i="3"/>
  <c r="I132" i="3" s="1" a="1"/>
  <c r="I132" i="3" s="1"/>
  <c r="H133" i="3"/>
  <c r="I133" i="3" s="1" a="1"/>
  <c r="I133" i="3" s="1"/>
  <c r="H134" i="3"/>
  <c r="I134" i="3" s="1" a="1"/>
  <c r="I134" i="3" s="1"/>
  <c r="H135" i="3"/>
  <c r="I135" i="3" s="1" a="1"/>
  <c r="I135" i="3" s="1"/>
  <c r="H136" i="3"/>
  <c r="I136" i="3" s="1" a="1"/>
  <c r="I136" i="3" s="1"/>
  <c r="H137" i="3"/>
  <c r="I137" i="3" s="1" a="1"/>
  <c r="I137" i="3" s="1"/>
  <c r="H138" i="3"/>
  <c r="I138" i="3" s="1" a="1"/>
  <c r="I138" i="3" s="1"/>
  <c r="H139" i="3"/>
  <c r="I139" i="3" s="1" a="1"/>
  <c r="I139" i="3" s="1"/>
  <c r="H140" i="3"/>
  <c r="I140" i="3" s="1" a="1"/>
  <c r="I140" i="3" s="1"/>
  <c r="H141" i="3"/>
  <c r="I141" i="3" s="1" a="1"/>
  <c r="I141" i="3" s="1"/>
  <c r="H142" i="3"/>
  <c r="I142" i="3" s="1" a="1"/>
  <c r="I142" i="3" s="1"/>
  <c r="H143" i="3"/>
  <c r="I143" i="3" s="1" a="1"/>
  <c r="I143" i="3" s="1"/>
  <c r="H144" i="3"/>
  <c r="I144" i="3" s="1" a="1"/>
  <c r="I144" i="3" s="1"/>
  <c r="H145" i="3"/>
  <c r="I145" i="3" s="1" a="1"/>
  <c r="I145" i="3" s="1"/>
  <c r="H146" i="3"/>
  <c r="I146" i="3" s="1" a="1"/>
  <c r="I146" i="3" s="1"/>
  <c r="H147" i="3"/>
  <c r="I147" i="3" s="1" a="1"/>
  <c r="I147" i="3" s="1"/>
  <c r="H148" i="3"/>
  <c r="I148" i="3" s="1" a="1"/>
  <c r="I148" i="3" s="1"/>
  <c r="H149" i="3"/>
  <c r="I149" i="3" s="1" a="1"/>
  <c r="I149" i="3" s="1"/>
  <c r="H150" i="3"/>
  <c r="I150" i="3" s="1" a="1"/>
  <c r="I150" i="3" s="1"/>
  <c r="H151" i="3"/>
  <c r="I151" i="3" s="1" a="1"/>
  <c r="I151" i="3" s="1"/>
  <c r="H152" i="3"/>
  <c r="I152" i="3" s="1" a="1"/>
  <c r="I152" i="3" s="1"/>
  <c r="H153" i="3"/>
  <c r="I153" i="3" s="1" a="1"/>
  <c r="I153" i="3" s="1"/>
  <c r="H154" i="3"/>
  <c r="I154" i="3" s="1" a="1"/>
  <c r="I154" i="3" s="1"/>
  <c r="H155" i="3"/>
  <c r="I155" i="3" s="1" a="1"/>
  <c r="I155" i="3" s="1"/>
  <c r="H156" i="3"/>
  <c r="I156" i="3" s="1" a="1"/>
  <c r="I156" i="3" s="1"/>
  <c r="H157" i="3"/>
  <c r="I157" i="3" s="1" a="1"/>
  <c r="I157" i="3" s="1"/>
  <c r="H158" i="3"/>
  <c r="I158" i="3" s="1" a="1"/>
  <c r="I158" i="3" s="1"/>
  <c r="H159" i="3"/>
  <c r="I159" i="3" s="1" a="1"/>
  <c r="I159" i="3" s="1"/>
  <c r="H160" i="3"/>
  <c r="I160" i="3" s="1" a="1"/>
  <c r="I160" i="3" s="1"/>
  <c r="H161" i="3"/>
  <c r="I161" i="3" s="1" a="1"/>
  <c r="I161" i="3" s="1"/>
  <c r="H162" i="3"/>
  <c r="I162" i="3" s="1" a="1"/>
  <c r="I162" i="3" s="1"/>
  <c r="H163" i="3"/>
  <c r="I163" i="3" s="1" a="1"/>
  <c r="I163" i="3" s="1"/>
  <c r="H164" i="3"/>
  <c r="I164" i="3" s="1" a="1"/>
  <c r="I164" i="3" s="1"/>
  <c r="H165" i="3"/>
  <c r="I165" i="3" s="1" a="1"/>
  <c r="I165" i="3" s="1"/>
  <c r="H166" i="3"/>
  <c r="I166" i="3" s="1" a="1"/>
  <c r="I166" i="3" s="1"/>
  <c r="H167" i="3"/>
  <c r="I167" i="3" s="1" a="1"/>
  <c r="I167" i="3" s="1"/>
  <c r="H168" i="3"/>
  <c r="I168" i="3" s="1" a="1"/>
  <c r="I168" i="3" s="1"/>
  <c r="H169" i="3"/>
  <c r="I169" i="3" s="1" a="1"/>
  <c r="I169" i="3" s="1"/>
  <c r="H170" i="3"/>
  <c r="I170" i="3" s="1" a="1"/>
  <c r="I170" i="3" s="1"/>
  <c r="H171" i="3"/>
  <c r="I171" i="3" s="1" a="1"/>
  <c r="I171" i="3" s="1"/>
  <c r="H172" i="3"/>
  <c r="I172" i="3" s="1" a="1"/>
  <c r="I172" i="3" s="1"/>
  <c r="H173" i="3"/>
  <c r="I173" i="3" s="1" a="1"/>
  <c r="I173" i="3" s="1"/>
  <c r="H174" i="3"/>
  <c r="I174" i="3" s="1" a="1"/>
  <c r="I174" i="3" s="1"/>
  <c r="H175" i="3"/>
  <c r="I175" i="3" s="1" a="1"/>
  <c r="I175" i="3" s="1"/>
  <c r="H176" i="3"/>
  <c r="I176" i="3" s="1" a="1"/>
  <c r="I176" i="3" s="1"/>
  <c r="H177" i="3"/>
  <c r="I177" i="3" s="1" a="1"/>
  <c r="I177" i="3" s="1"/>
  <c r="H178" i="3"/>
  <c r="I178" i="3" s="1" a="1"/>
  <c r="I178" i="3" s="1"/>
  <c r="H179" i="3"/>
  <c r="I179" i="3" s="1" a="1"/>
  <c r="I179" i="3" s="1"/>
  <c r="H180" i="3"/>
  <c r="I180" i="3" s="1" a="1"/>
  <c r="I180" i="3" s="1"/>
  <c r="H181" i="3"/>
  <c r="I181" i="3" s="1" a="1"/>
  <c r="I181" i="3" s="1"/>
  <c r="H182" i="3"/>
  <c r="I182" i="3" s="1" a="1"/>
  <c r="I182" i="3" s="1"/>
  <c r="H183" i="3"/>
  <c r="I183" i="3" s="1" a="1"/>
  <c r="I183" i="3" s="1"/>
  <c r="H184" i="3"/>
  <c r="I184" i="3" s="1" a="1"/>
  <c r="I184" i="3" s="1"/>
  <c r="H185" i="3"/>
  <c r="I185" i="3" s="1" a="1"/>
  <c r="I185" i="3" s="1"/>
  <c r="H186" i="3"/>
  <c r="I186" i="3" s="1" a="1"/>
  <c r="I186" i="3" s="1"/>
  <c r="H187" i="3"/>
  <c r="I187" i="3" s="1" a="1"/>
  <c r="I187" i="3" s="1"/>
  <c r="H188" i="3"/>
  <c r="I188" i="3" s="1" a="1"/>
  <c r="I188" i="3" s="1"/>
  <c r="H189" i="3"/>
  <c r="I189" i="3" s="1" a="1"/>
  <c r="I189" i="3" s="1"/>
  <c r="H190" i="3"/>
  <c r="I190" i="3" s="1" a="1"/>
  <c r="I190" i="3" s="1"/>
  <c r="H191" i="3"/>
  <c r="I191" i="3" s="1" a="1"/>
  <c r="I191" i="3" s="1"/>
  <c r="H192" i="3"/>
  <c r="I192" i="3" s="1" a="1"/>
  <c r="I192" i="3" s="1"/>
  <c r="H193" i="3"/>
  <c r="I193" i="3" s="1" a="1"/>
  <c r="I193" i="3" s="1"/>
  <c r="H194" i="3"/>
  <c r="I194" i="3" s="1" a="1"/>
  <c r="I194" i="3" s="1"/>
  <c r="H195" i="3"/>
  <c r="I195" i="3" s="1" a="1"/>
  <c r="I195" i="3" s="1"/>
  <c r="H196" i="3"/>
  <c r="I196" i="3" s="1" a="1"/>
  <c r="I196" i="3" s="1"/>
  <c r="H197" i="3"/>
  <c r="I197" i="3" s="1" a="1"/>
  <c r="I197" i="3" s="1"/>
  <c r="H198" i="3"/>
  <c r="I198" i="3" s="1" a="1"/>
  <c r="I198" i="3" s="1"/>
  <c r="H199" i="3"/>
  <c r="I199" i="3" s="1" a="1"/>
  <c r="I199" i="3" s="1"/>
  <c r="H200" i="3"/>
  <c r="I200" i="3" s="1" a="1"/>
  <c r="I200" i="3" s="1"/>
  <c r="H201" i="3"/>
  <c r="I201" i="3" s="1" a="1"/>
  <c r="I201" i="3" s="1"/>
  <c r="H202" i="3"/>
  <c r="I202" i="3" s="1" a="1"/>
  <c r="I202" i="3" s="1"/>
  <c r="H203" i="3"/>
  <c r="I203" i="3" s="1" a="1"/>
  <c r="I203" i="3" s="1"/>
  <c r="H204" i="3"/>
  <c r="I204" i="3" s="1" a="1"/>
  <c r="I204" i="3" s="1"/>
  <c r="H205" i="3"/>
  <c r="I205" i="3" s="1" a="1"/>
  <c r="I205" i="3" s="1"/>
  <c r="H206" i="3"/>
  <c r="I206" i="3" s="1" a="1"/>
  <c r="I206" i="3" s="1"/>
  <c r="H207" i="3"/>
  <c r="I207" i="3" s="1" a="1"/>
  <c r="I207" i="3" s="1"/>
  <c r="H208" i="3"/>
  <c r="I208" i="3" s="1" a="1"/>
  <c r="I208" i="3" s="1"/>
  <c r="H209" i="3"/>
  <c r="I209" i="3" s="1" a="1"/>
  <c r="I209" i="3" s="1"/>
  <c r="H210" i="3"/>
  <c r="I210" i="3" s="1" a="1"/>
  <c r="I210" i="3" s="1"/>
  <c r="H211" i="3"/>
  <c r="I211" i="3" s="1" a="1"/>
  <c r="I211" i="3" s="1"/>
  <c r="H212" i="3"/>
  <c r="I212" i="3" s="1" a="1"/>
  <c r="I212" i="3" s="1"/>
  <c r="H213" i="3"/>
  <c r="I213" i="3" s="1" a="1"/>
  <c r="I213" i="3" s="1"/>
  <c r="H214" i="3"/>
  <c r="I214" i="3" s="1" a="1"/>
  <c r="I214" i="3" s="1"/>
  <c r="H215" i="3"/>
  <c r="I215" i="3" s="1" a="1"/>
  <c r="I215" i="3" s="1"/>
  <c r="H216" i="3"/>
  <c r="I216" i="3" s="1" a="1"/>
  <c r="I216" i="3" s="1"/>
  <c r="H217" i="3"/>
  <c r="I217" i="3" s="1" a="1"/>
  <c r="I217" i="3" s="1"/>
  <c r="H218" i="3"/>
  <c r="I218" i="3" s="1" a="1"/>
  <c r="I218" i="3" s="1"/>
  <c r="H219" i="3"/>
  <c r="I219" i="3" s="1" a="1"/>
  <c r="I219" i="3" s="1"/>
  <c r="H220" i="3"/>
  <c r="I220" i="3" s="1" a="1"/>
  <c r="I220" i="3" s="1"/>
  <c r="H221" i="3"/>
  <c r="I221" i="3" s="1" a="1"/>
  <c r="I221" i="3" s="1"/>
  <c r="H222" i="3"/>
  <c r="I222" i="3" s="1" a="1"/>
  <c r="I222" i="3" s="1"/>
  <c r="H223" i="3"/>
  <c r="I223" i="3" s="1" a="1"/>
  <c r="I223" i="3" s="1"/>
  <c r="H224" i="3"/>
  <c r="I224" i="3" s="1" a="1"/>
  <c r="I224" i="3" s="1"/>
  <c r="H225" i="3"/>
  <c r="I225" i="3" s="1" a="1"/>
  <c r="I225" i="3" s="1"/>
  <c r="H226" i="3"/>
  <c r="I226" i="3" s="1" a="1"/>
  <c r="I226" i="3" s="1"/>
  <c r="H227" i="3"/>
  <c r="I227" i="3" s="1" a="1"/>
  <c r="I227" i="3" s="1"/>
  <c r="H228" i="3"/>
  <c r="I228" i="3" s="1" a="1"/>
  <c r="I228" i="3" s="1"/>
  <c r="H229" i="3"/>
  <c r="I229" i="3" s="1" a="1"/>
  <c r="I229" i="3" s="1"/>
  <c r="H230" i="3"/>
  <c r="I230" i="3" s="1" a="1"/>
  <c r="I230" i="3" s="1"/>
  <c r="H231" i="3"/>
  <c r="I231" i="3" s="1" a="1"/>
  <c r="I231" i="3" s="1"/>
  <c r="H232" i="3"/>
  <c r="I232" i="3" s="1" a="1"/>
  <c r="I232" i="3" s="1"/>
  <c r="H233" i="3"/>
  <c r="I233" i="3" s="1" a="1"/>
  <c r="I233" i="3" s="1"/>
  <c r="H234" i="3"/>
  <c r="I234" i="3" s="1" a="1"/>
  <c r="I234" i="3" s="1"/>
  <c r="H235" i="3"/>
  <c r="I235" i="3" s="1" a="1"/>
  <c r="I235" i="3" s="1"/>
  <c r="H236" i="3"/>
  <c r="I236" i="3" s="1" a="1"/>
  <c r="I236" i="3" s="1"/>
  <c r="H237" i="3"/>
  <c r="I237" i="3" s="1" a="1"/>
  <c r="I237" i="3" s="1"/>
  <c r="H238" i="3"/>
  <c r="I238" i="3" s="1" a="1"/>
  <c r="I238" i="3" s="1"/>
  <c r="H239" i="3"/>
  <c r="I239" i="3" s="1" a="1"/>
  <c r="I239" i="3" s="1"/>
  <c r="H240" i="3"/>
  <c r="I240" i="3" s="1" a="1"/>
  <c r="I240" i="3" s="1"/>
  <c r="H241" i="3"/>
  <c r="I241" i="3" s="1" a="1"/>
  <c r="I241" i="3" s="1"/>
  <c r="H242" i="3"/>
  <c r="I242" i="3" s="1" a="1"/>
  <c r="I242" i="3" s="1"/>
  <c r="H243" i="3"/>
  <c r="I243" i="3" s="1" a="1"/>
  <c r="I243" i="3" s="1"/>
  <c r="H244" i="3"/>
  <c r="I244" i="3" s="1" a="1"/>
  <c r="I244" i="3" s="1"/>
  <c r="H245" i="3"/>
  <c r="I245" i="3" s="1" a="1"/>
  <c r="I245" i="3" s="1"/>
  <c r="H246" i="3"/>
  <c r="I246" i="3" s="1" a="1"/>
  <c r="I246" i="3" s="1"/>
  <c r="H247" i="3"/>
  <c r="I247" i="3" s="1" a="1"/>
  <c r="I247" i="3" s="1"/>
  <c r="H248" i="3"/>
  <c r="I248" i="3" s="1" a="1"/>
  <c r="I248" i="3" s="1"/>
  <c r="H249" i="3"/>
  <c r="I249" i="3" s="1" a="1"/>
  <c r="I249" i="3" s="1"/>
  <c r="H250" i="3"/>
  <c r="I250" i="3" s="1" a="1"/>
  <c r="I250" i="3" s="1"/>
  <c r="H251" i="3"/>
  <c r="I251" i="3" s="1" a="1"/>
  <c r="I251" i="3" s="1"/>
  <c r="H252" i="3"/>
  <c r="I252" i="3" s="1" a="1"/>
  <c r="I252" i="3" s="1"/>
  <c r="H253" i="3"/>
  <c r="I253" i="3" s="1" a="1"/>
  <c r="I253" i="3" s="1"/>
  <c r="H254" i="3"/>
  <c r="I254" i="3" s="1" a="1"/>
  <c r="I254" i="3" s="1"/>
  <c r="H255" i="3"/>
  <c r="I255" i="3" s="1" a="1"/>
  <c r="I255" i="3" s="1"/>
  <c r="H256" i="3"/>
  <c r="I256" i="3" s="1" a="1"/>
  <c r="I256" i="3" s="1"/>
  <c r="H257" i="3"/>
  <c r="I257" i="3" s="1" a="1"/>
  <c r="I257" i="3" s="1"/>
  <c r="H258" i="3"/>
  <c r="I258" i="3" s="1" a="1"/>
  <c r="I258" i="3" s="1"/>
  <c r="H259" i="3"/>
  <c r="I259" i="3" s="1" a="1"/>
  <c r="I259" i="3" s="1"/>
  <c r="H260" i="3"/>
  <c r="I260" i="3" s="1" a="1"/>
  <c r="I260" i="3" s="1"/>
  <c r="H261" i="3"/>
  <c r="I261" i="3" s="1" a="1"/>
  <c r="I261" i="3" s="1"/>
  <c r="H262" i="3"/>
  <c r="I262" i="3" s="1" a="1"/>
  <c r="I262" i="3" s="1"/>
  <c r="H263" i="3"/>
  <c r="I263" i="3" s="1" a="1"/>
  <c r="I263" i="3" s="1"/>
  <c r="H264" i="3"/>
  <c r="I264" i="3" s="1" a="1"/>
  <c r="I264" i="3" s="1"/>
  <c r="H265" i="3"/>
  <c r="I265" i="3" s="1" a="1"/>
  <c r="I265" i="3" s="1"/>
  <c r="H266" i="3"/>
  <c r="I266" i="3" s="1" a="1"/>
  <c r="I266" i="3" s="1"/>
  <c r="H267" i="3"/>
  <c r="I267" i="3" s="1" a="1"/>
  <c r="I267" i="3" s="1"/>
  <c r="H268" i="3"/>
  <c r="I268" i="3" s="1" a="1"/>
  <c r="I268" i="3" s="1"/>
  <c r="H269" i="3"/>
  <c r="I269" i="3" s="1" a="1"/>
  <c r="I269" i="3" s="1"/>
  <c r="H270" i="3"/>
  <c r="I270" i="3" s="1" a="1"/>
  <c r="I270" i="3" s="1"/>
  <c r="H271" i="3"/>
  <c r="I271" i="3" s="1" a="1"/>
  <c r="I271" i="3" s="1"/>
  <c r="H272" i="3"/>
  <c r="I272" i="3" s="1" a="1"/>
  <c r="I272" i="3" s="1"/>
  <c r="H273" i="3"/>
  <c r="I273" i="3" s="1" a="1"/>
  <c r="I273" i="3" s="1"/>
  <c r="H274" i="3"/>
  <c r="I274" i="3" s="1" a="1"/>
  <c r="I274" i="3" s="1"/>
  <c r="H275" i="3"/>
  <c r="I275" i="3" s="1" a="1"/>
  <c r="I275" i="3" s="1"/>
  <c r="H276" i="3"/>
  <c r="I276" i="3" s="1" a="1"/>
  <c r="I276" i="3" s="1"/>
  <c r="H277" i="3"/>
  <c r="I277" i="3" s="1" a="1"/>
  <c r="I277" i="3" s="1"/>
  <c r="H278" i="3"/>
  <c r="I278" i="3" s="1" a="1"/>
  <c r="I278" i="3" s="1"/>
  <c r="H279" i="3"/>
  <c r="I279" i="3" s="1" a="1"/>
  <c r="I279" i="3" s="1"/>
  <c r="H280" i="3"/>
  <c r="I280" i="3" s="1" a="1"/>
  <c r="I280" i="3" s="1"/>
  <c r="H281" i="3"/>
  <c r="I281" i="3" s="1" a="1"/>
  <c r="I281" i="3" s="1"/>
  <c r="H282" i="3"/>
  <c r="I282" i="3" s="1" a="1"/>
  <c r="I282" i="3" s="1"/>
  <c r="H283" i="3"/>
  <c r="I283" i="3" s="1" a="1"/>
  <c r="I283" i="3" s="1"/>
  <c r="H284" i="3"/>
  <c r="I284" i="3" s="1" a="1"/>
  <c r="I284" i="3" s="1"/>
  <c r="H285" i="3"/>
  <c r="I285" i="3" s="1" a="1"/>
  <c r="I285" i="3" s="1"/>
  <c r="H286" i="3"/>
  <c r="I286" i="3" s="1" a="1"/>
  <c r="I286" i="3" s="1"/>
  <c r="H287" i="3"/>
  <c r="I287" i="3" s="1" a="1"/>
  <c r="I287" i="3" s="1"/>
  <c r="H288" i="3"/>
  <c r="I288" i="3" s="1" a="1"/>
  <c r="I288" i="3" s="1"/>
  <c r="H2" i="3"/>
  <c r="I2" i="3" s="1" a="1"/>
  <c r="I2" i="3" s="1"/>
  <c r="G3" i="3" a="1"/>
  <c r="G3" i="3"/>
  <c r="G4" i="3" a="1"/>
  <c r="G4" i="3"/>
  <c r="G5" i="3" a="1"/>
  <c r="G5" i="3"/>
  <c r="G6" i="3" a="1"/>
  <c r="G6" i="3"/>
  <c r="G7" i="3" a="1"/>
  <c r="G7" i="3"/>
  <c r="G8" i="3" a="1"/>
  <c r="G8" i="3"/>
  <c r="G9" i="3" a="1"/>
  <c r="G9" i="3"/>
  <c r="G10" i="3" a="1"/>
  <c r="G10" i="3"/>
  <c r="G11" i="3" a="1"/>
  <c r="G11" i="3"/>
  <c r="G12" i="3" a="1"/>
  <c r="G12" i="3"/>
  <c r="G13" i="3" a="1"/>
  <c r="G13" i="3"/>
  <c r="G14" i="3" a="1"/>
  <c r="G14" i="3"/>
  <c r="G15" i="3" a="1"/>
  <c r="G15" i="3"/>
  <c r="G16" i="3" a="1"/>
  <c r="G16" i="3"/>
  <c r="G17" i="3" a="1"/>
  <c r="G17" i="3"/>
  <c r="G18" i="3" a="1"/>
  <c r="G18" i="3"/>
  <c r="G19" i="3" a="1"/>
  <c r="G19" i="3"/>
  <c r="G20" i="3" a="1"/>
  <c r="G20" i="3"/>
  <c r="G21" i="3" a="1"/>
  <c r="G21" i="3"/>
  <c r="G22" i="3" a="1"/>
  <c r="G22" i="3"/>
  <c r="G23" i="3" a="1"/>
  <c r="G23" i="3"/>
  <c r="G24" i="3" a="1"/>
  <c r="G24" i="3"/>
  <c r="G25" i="3" a="1"/>
  <c r="G25" i="3"/>
  <c r="G26" i="3" a="1"/>
  <c r="G26" i="3"/>
  <c r="G27" i="3" a="1"/>
  <c r="G27" i="3"/>
  <c r="G28" i="3" a="1"/>
  <c r="G28" i="3"/>
  <c r="G29" i="3" a="1"/>
  <c r="G29" i="3"/>
  <c r="G30" i="3" a="1"/>
  <c r="G30" i="3"/>
  <c r="G31" i="3" a="1"/>
  <c r="G31" i="3"/>
  <c r="G32" i="3" a="1"/>
  <c r="G32" i="3"/>
  <c r="G33" i="3" a="1"/>
  <c r="G33" i="3"/>
  <c r="G34" i="3" a="1"/>
  <c r="G34" i="3"/>
  <c r="G35" i="3" a="1"/>
  <c r="G35" i="3"/>
  <c r="G36" i="3" a="1"/>
  <c r="G36" i="3"/>
  <c r="G37" i="3" a="1"/>
  <c r="G37" i="3"/>
  <c r="G38" i="3" a="1"/>
  <c r="G38" i="3"/>
  <c r="G39" i="3" a="1"/>
  <c r="G39" i="3"/>
  <c r="G40" i="3" a="1"/>
  <c r="G40" i="3"/>
  <c r="G41" i="3" a="1"/>
  <c r="G41" i="3"/>
  <c r="G42" i="3" a="1"/>
  <c r="G42" i="3"/>
  <c r="G43" i="3" a="1"/>
  <c r="G43" i="3"/>
  <c r="G44" i="3" a="1"/>
  <c r="G44" i="3"/>
  <c r="G45" i="3" a="1"/>
  <c r="G45" i="3"/>
  <c r="G46" i="3" a="1"/>
  <c r="G46" i="3"/>
  <c r="G47" i="3" a="1"/>
  <c r="G47" i="3"/>
  <c r="G48" i="3" a="1"/>
  <c r="G48" i="3"/>
  <c r="G49" i="3" a="1"/>
  <c r="G49" i="3"/>
  <c r="G50" i="3" a="1"/>
  <c r="G50" i="3"/>
  <c r="G51" i="3" a="1"/>
  <c r="G51" i="3"/>
  <c r="G52" i="3" a="1"/>
  <c r="G52" i="3"/>
  <c r="G53" i="3" a="1"/>
  <c r="G53" i="3"/>
  <c r="G54" i="3" a="1"/>
  <c r="G54" i="3"/>
  <c r="G55" i="3" a="1"/>
  <c r="G55" i="3"/>
  <c r="G56" i="3" a="1"/>
  <c r="G56" i="3"/>
  <c r="G57" i="3" a="1"/>
  <c r="G57" i="3"/>
  <c r="G58" i="3" a="1"/>
  <c r="G58" i="3"/>
  <c r="G59" i="3" a="1"/>
  <c r="G59" i="3"/>
  <c r="G60" i="3" a="1"/>
  <c r="G60" i="3"/>
  <c r="G61" i="3" a="1"/>
  <c r="G61" i="3"/>
  <c r="G62" i="3" a="1"/>
  <c r="G62" i="3"/>
  <c r="G63" i="3" a="1"/>
  <c r="G63" i="3"/>
  <c r="G64" i="3" a="1"/>
  <c r="G64" i="3"/>
  <c r="G65" i="3" a="1"/>
  <c r="G65" i="3"/>
  <c r="G66" i="3" a="1"/>
  <c r="G66" i="3"/>
  <c r="G67" i="3" a="1"/>
  <c r="G67" i="3"/>
  <c r="G68" i="3" a="1"/>
  <c r="G68" i="3"/>
  <c r="G69" i="3" a="1"/>
  <c r="G69" i="3"/>
  <c r="G70" i="3" a="1"/>
  <c r="G70" i="3"/>
  <c r="G71" i="3" a="1"/>
  <c r="G71" i="3"/>
  <c r="G72" i="3" a="1"/>
  <c r="G72" i="3"/>
  <c r="G73" i="3" a="1"/>
  <c r="G73" i="3"/>
  <c r="G74" i="3" a="1"/>
  <c r="G74" i="3"/>
  <c r="G75" i="3" a="1"/>
  <c r="G75" i="3"/>
  <c r="G76" i="3" a="1"/>
  <c r="G76" i="3"/>
  <c r="G77" i="3" a="1"/>
  <c r="G77" i="3"/>
  <c r="G78" i="3" a="1"/>
  <c r="G78" i="3"/>
  <c r="G79" i="3" a="1"/>
  <c r="G79" i="3"/>
  <c r="G80" i="3" a="1"/>
  <c r="G80" i="3"/>
  <c r="G81" i="3" a="1"/>
  <c r="G81" i="3"/>
  <c r="G82" i="3" a="1"/>
  <c r="G82" i="3"/>
  <c r="G83" i="3" a="1"/>
  <c r="G83" i="3"/>
  <c r="G84" i="3" a="1"/>
  <c r="G84" i="3"/>
  <c r="G85" i="3" a="1"/>
  <c r="G85" i="3"/>
  <c r="G86" i="3" a="1"/>
  <c r="G86" i="3"/>
  <c r="G87" i="3" a="1"/>
  <c r="G87" i="3"/>
  <c r="G88" i="3" a="1"/>
  <c r="G88" i="3"/>
  <c r="G89" i="3" a="1"/>
  <c r="G89" i="3"/>
  <c r="G90" i="3" a="1"/>
  <c r="G90" i="3"/>
  <c r="G91" i="3" a="1"/>
  <c r="G91" i="3"/>
  <c r="G92" i="3" a="1"/>
  <c r="G92" i="3"/>
  <c r="G93" i="3" a="1"/>
  <c r="G93" i="3"/>
  <c r="G94" i="3" a="1"/>
  <c r="G94" i="3"/>
  <c r="G95" i="3" a="1"/>
  <c r="G95" i="3"/>
  <c r="G96" i="3" a="1"/>
  <c r="G96" i="3"/>
  <c r="G97" i="3" a="1"/>
  <c r="G97" i="3"/>
  <c r="G98" i="3" a="1"/>
  <c r="G98" i="3"/>
  <c r="G99" i="3" a="1"/>
  <c r="G99" i="3"/>
  <c r="G100" i="3" a="1"/>
  <c r="G100" i="3"/>
  <c r="G101" i="3" a="1"/>
  <c r="G101" i="3"/>
  <c r="G102" i="3" a="1"/>
  <c r="G102" i="3"/>
  <c r="G103" i="3" a="1"/>
  <c r="G103" i="3"/>
  <c r="G104" i="3" a="1"/>
  <c r="G104" i="3"/>
  <c r="G105" i="3" a="1"/>
  <c r="G105" i="3"/>
  <c r="G106" i="3" a="1"/>
  <c r="G106" i="3"/>
  <c r="G107" i="3" a="1"/>
  <c r="G107" i="3"/>
  <c r="G108" i="3" a="1"/>
  <c r="G108" i="3"/>
  <c r="G109" i="3" a="1"/>
  <c r="G109" i="3"/>
  <c r="G110" i="3" a="1"/>
  <c r="G110" i="3"/>
  <c r="G111" i="3" a="1"/>
  <c r="G111" i="3"/>
  <c r="G112" i="3" a="1"/>
  <c r="G112" i="3"/>
  <c r="G113" i="3" a="1"/>
  <c r="G113" i="3"/>
  <c r="G114" i="3" a="1"/>
  <c r="G114" i="3"/>
  <c r="G115" i="3" a="1"/>
  <c r="G115" i="3"/>
  <c r="G116" i="3" a="1"/>
  <c r="G116" i="3"/>
  <c r="G117" i="3" a="1"/>
  <c r="G117" i="3"/>
  <c r="G118" i="3" a="1"/>
  <c r="G118" i="3"/>
  <c r="G119" i="3" a="1"/>
  <c r="G119" i="3"/>
  <c r="G120" i="3" a="1"/>
  <c r="G120" i="3"/>
  <c r="G121" i="3" a="1"/>
  <c r="G121" i="3"/>
  <c r="G122" i="3" a="1"/>
  <c r="G122" i="3"/>
  <c r="G123" i="3" a="1"/>
  <c r="G123" i="3"/>
  <c r="G124" i="3" a="1"/>
  <c r="G124" i="3"/>
  <c r="G125" i="3" a="1"/>
  <c r="G125" i="3"/>
  <c r="G126" i="3" a="1"/>
  <c r="G126" i="3"/>
  <c r="G127" i="3" a="1"/>
  <c r="G127" i="3"/>
  <c r="G128" i="3" a="1"/>
  <c r="G128" i="3"/>
  <c r="G129" i="3" a="1"/>
  <c r="G129" i="3"/>
  <c r="G130" i="3" a="1"/>
  <c r="G130" i="3"/>
  <c r="G131" i="3" a="1"/>
  <c r="G131" i="3"/>
  <c r="G132" i="3" a="1"/>
  <c r="G132" i="3"/>
  <c r="G133" i="3" a="1"/>
  <c r="G133" i="3"/>
  <c r="G134" i="3" a="1"/>
  <c r="G134" i="3"/>
  <c r="G135" i="3" a="1"/>
  <c r="G135" i="3"/>
  <c r="G136" i="3" a="1"/>
  <c r="G136" i="3"/>
  <c r="G137" i="3" a="1"/>
  <c r="G137" i="3"/>
  <c r="G138" i="3" a="1"/>
  <c r="G138" i="3"/>
  <c r="G139" i="3" a="1"/>
  <c r="G139" i="3"/>
  <c r="G140" i="3" a="1"/>
  <c r="G140" i="3"/>
  <c r="G141" i="3" a="1"/>
  <c r="G141" i="3"/>
  <c r="G142" i="3" a="1"/>
  <c r="G142" i="3"/>
  <c r="G143" i="3" a="1"/>
  <c r="G143" i="3"/>
  <c r="G144" i="3" a="1"/>
  <c r="G144" i="3"/>
  <c r="G145" i="3" a="1"/>
  <c r="G145" i="3"/>
  <c r="G146" i="3" a="1"/>
  <c r="G146" i="3"/>
  <c r="G147" i="3" a="1"/>
  <c r="G147" i="3"/>
  <c r="G148" i="3" a="1"/>
  <c r="G148" i="3"/>
  <c r="G149" i="3" a="1"/>
  <c r="G149" i="3"/>
  <c r="G150" i="3" a="1"/>
  <c r="G150" i="3"/>
  <c r="G151" i="3" a="1"/>
  <c r="G151" i="3"/>
  <c r="G152" i="3" a="1"/>
  <c r="G152" i="3"/>
  <c r="G153" i="3" a="1"/>
  <c r="G153" i="3"/>
  <c r="G154" i="3" a="1"/>
  <c r="G154" i="3"/>
  <c r="G155" i="3" a="1"/>
  <c r="G155" i="3"/>
  <c r="G156" i="3" a="1"/>
  <c r="G156" i="3"/>
  <c r="G157" i="3" a="1"/>
  <c r="G157" i="3"/>
  <c r="G158" i="3" a="1"/>
  <c r="G158" i="3"/>
  <c r="G159" i="3" a="1"/>
  <c r="G159" i="3"/>
  <c r="G160" i="3" a="1"/>
  <c r="G160" i="3"/>
  <c r="G161" i="3" a="1"/>
  <c r="G161" i="3"/>
  <c r="G162" i="3" a="1"/>
  <c r="G162" i="3"/>
  <c r="G163" i="3" a="1"/>
  <c r="G163" i="3"/>
  <c r="G164" i="3" a="1"/>
  <c r="G164" i="3"/>
  <c r="G165" i="3" a="1"/>
  <c r="G165" i="3"/>
  <c r="G166" i="3" a="1"/>
  <c r="G166" i="3"/>
  <c r="G167" i="3" a="1"/>
  <c r="G167" i="3"/>
  <c r="G168" i="3" a="1"/>
  <c r="G168" i="3"/>
  <c r="G169" i="3" a="1"/>
  <c r="G169" i="3"/>
  <c r="G170" i="3" a="1"/>
  <c r="G170" i="3"/>
  <c r="G171" i="3" a="1"/>
  <c r="G171" i="3"/>
  <c r="G172" i="3" a="1"/>
  <c r="G172" i="3"/>
  <c r="G173" i="3" a="1"/>
  <c r="G173" i="3"/>
  <c r="G174" i="3" a="1"/>
  <c r="G174" i="3"/>
  <c r="G175" i="3" a="1"/>
  <c r="G175" i="3"/>
  <c r="G176" i="3" a="1"/>
  <c r="G176" i="3"/>
  <c r="G177" i="3" a="1"/>
  <c r="G177" i="3"/>
  <c r="G178" i="3" a="1"/>
  <c r="G178" i="3"/>
  <c r="G179" i="3" a="1"/>
  <c r="G179" i="3"/>
  <c r="G180" i="3" a="1"/>
  <c r="G180" i="3"/>
  <c r="G181" i="3" a="1"/>
  <c r="G181" i="3"/>
  <c r="G182" i="3" a="1"/>
  <c r="G182" i="3"/>
  <c r="G183" i="3" a="1"/>
  <c r="G183" i="3"/>
  <c r="G184" i="3" a="1"/>
  <c r="G184" i="3"/>
  <c r="G185" i="3" a="1"/>
  <c r="G185" i="3"/>
  <c r="G186" i="3" a="1"/>
  <c r="G186" i="3"/>
  <c r="G187" i="3" a="1"/>
  <c r="G187" i="3"/>
  <c r="G188" i="3" a="1"/>
  <c r="G188" i="3"/>
  <c r="G189" i="3" a="1"/>
  <c r="G189" i="3"/>
  <c r="G190" i="3" a="1"/>
  <c r="G190" i="3"/>
  <c r="G191" i="3" a="1"/>
  <c r="G191" i="3"/>
  <c r="G192" i="3" a="1"/>
  <c r="G192" i="3"/>
  <c r="G193" i="3" a="1"/>
  <c r="G193" i="3"/>
  <c r="G194" i="3" a="1"/>
  <c r="G194" i="3"/>
  <c r="G195" i="3" a="1"/>
  <c r="G195" i="3"/>
  <c r="G196" i="3" a="1"/>
  <c r="G196" i="3"/>
  <c r="G197" i="3" a="1"/>
  <c r="G197" i="3"/>
  <c r="G198" i="3" a="1"/>
  <c r="G198" i="3"/>
  <c r="G199" i="3" a="1"/>
  <c r="G199" i="3"/>
  <c r="G200" i="3" a="1"/>
  <c r="G200" i="3"/>
  <c r="G201" i="3" a="1"/>
  <c r="G201" i="3"/>
  <c r="G202" i="3" a="1"/>
  <c r="G202" i="3"/>
  <c r="G203" i="3" a="1"/>
  <c r="G203" i="3"/>
  <c r="G204" i="3" a="1"/>
  <c r="G204" i="3"/>
  <c r="G205" i="3" a="1"/>
  <c r="G205" i="3"/>
  <c r="G206" i="3" a="1"/>
  <c r="G206" i="3"/>
  <c r="G207" i="3" a="1"/>
  <c r="G207" i="3"/>
  <c r="G208" i="3" a="1"/>
  <c r="G208" i="3"/>
  <c r="G209" i="3" a="1"/>
  <c r="G209" i="3"/>
  <c r="G210" i="3" a="1"/>
  <c r="G210" i="3"/>
  <c r="G211" i="3" a="1"/>
  <c r="G211" i="3"/>
  <c r="G212" i="3" a="1"/>
  <c r="G212" i="3"/>
  <c r="G213" i="3" a="1"/>
  <c r="G213" i="3"/>
  <c r="G214" i="3" a="1"/>
  <c r="G214" i="3"/>
  <c r="G215" i="3" a="1"/>
  <c r="G215" i="3"/>
  <c r="G216" i="3" a="1"/>
  <c r="G216" i="3"/>
  <c r="G217" i="3" a="1"/>
  <c r="G217" i="3"/>
  <c r="G218" i="3" a="1"/>
  <c r="G218" i="3"/>
  <c r="G219" i="3" a="1"/>
  <c r="G219" i="3"/>
  <c r="G220" i="3" a="1"/>
  <c r="G220" i="3"/>
  <c r="G221" i="3" a="1"/>
  <c r="G221" i="3"/>
  <c r="G222" i="3" a="1"/>
  <c r="G222" i="3"/>
  <c r="G223" i="3" a="1"/>
  <c r="G223" i="3"/>
  <c r="G224" i="3" a="1"/>
  <c r="G224" i="3"/>
  <c r="G225" i="3" a="1"/>
  <c r="G225" i="3"/>
  <c r="G226" i="3" a="1"/>
  <c r="G226" i="3"/>
  <c r="G227" i="3" a="1"/>
  <c r="G227" i="3"/>
  <c r="G228" i="3" a="1"/>
  <c r="G228" i="3"/>
  <c r="G229" i="3" a="1"/>
  <c r="G229" i="3"/>
  <c r="G230" i="3" a="1"/>
  <c r="G230" i="3"/>
  <c r="G231" i="3" a="1"/>
  <c r="G231" i="3"/>
  <c r="G232" i="3" a="1"/>
  <c r="G232" i="3"/>
  <c r="G233" i="3" a="1"/>
  <c r="G233" i="3"/>
  <c r="G234" i="3" a="1"/>
  <c r="G234" i="3"/>
  <c r="G235" i="3" a="1"/>
  <c r="G235" i="3"/>
  <c r="G236" i="3" a="1"/>
  <c r="G236" i="3"/>
  <c r="G237" i="3" a="1"/>
  <c r="G237" i="3"/>
  <c r="G238" i="3" a="1"/>
  <c r="G238" i="3"/>
  <c r="G239" i="3" a="1"/>
  <c r="G239" i="3"/>
  <c r="G240" i="3" a="1"/>
  <c r="G240" i="3"/>
  <c r="G241" i="3" a="1"/>
  <c r="G241" i="3"/>
  <c r="G242" i="3" a="1"/>
  <c r="G242" i="3"/>
  <c r="G243" i="3" a="1"/>
  <c r="G243" i="3"/>
  <c r="G244" i="3" a="1"/>
  <c r="G244" i="3"/>
  <c r="G245" i="3" a="1"/>
  <c r="G245" i="3"/>
  <c r="G246" i="3" a="1"/>
  <c r="G246" i="3"/>
  <c r="G247" i="3" a="1"/>
  <c r="G247" i="3"/>
  <c r="G248" i="3" a="1"/>
  <c r="G248" i="3"/>
  <c r="G249" i="3" a="1"/>
  <c r="G249" i="3"/>
  <c r="G250" i="3" a="1"/>
  <c r="G250" i="3"/>
  <c r="G251" i="3" a="1"/>
  <c r="G251" i="3"/>
  <c r="G252" i="3" a="1"/>
  <c r="G252" i="3"/>
  <c r="G253" i="3" a="1"/>
  <c r="G253" i="3"/>
  <c r="G254" i="3" a="1"/>
  <c r="G254" i="3"/>
  <c r="G255" i="3" a="1"/>
  <c r="G255" i="3"/>
  <c r="G256" i="3" a="1"/>
  <c r="G256" i="3"/>
  <c r="G257" i="3" a="1"/>
  <c r="G257" i="3"/>
  <c r="G258" i="3" a="1"/>
  <c r="G258" i="3"/>
  <c r="G259" i="3" a="1"/>
  <c r="G259" i="3"/>
  <c r="G260" i="3" a="1"/>
  <c r="G260" i="3"/>
  <c r="G261" i="3" a="1"/>
  <c r="G261" i="3"/>
  <c r="G262" i="3" a="1"/>
  <c r="G262" i="3"/>
  <c r="G263" i="3" a="1"/>
  <c r="G263" i="3"/>
  <c r="G264" i="3" a="1"/>
  <c r="G264" i="3"/>
  <c r="G265" i="3" a="1"/>
  <c r="G265" i="3"/>
  <c r="G266" i="3" a="1"/>
  <c r="G266" i="3"/>
  <c r="G267" i="3" a="1"/>
  <c r="G267" i="3"/>
  <c r="G268" i="3" a="1"/>
  <c r="G268" i="3"/>
  <c r="G269" i="3" a="1"/>
  <c r="G269" i="3"/>
  <c r="G270" i="3" a="1"/>
  <c r="G270" i="3"/>
  <c r="G271" i="3" a="1"/>
  <c r="G271" i="3"/>
  <c r="G272" i="3" a="1"/>
  <c r="G272" i="3"/>
  <c r="G273" i="3" a="1"/>
  <c r="G273" i="3"/>
  <c r="G274" i="3" a="1"/>
  <c r="G274" i="3"/>
  <c r="G275" i="3" a="1"/>
  <c r="G275" i="3"/>
  <c r="G276" i="3" a="1"/>
  <c r="G276" i="3"/>
  <c r="G277" i="3" a="1"/>
  <c r="G277" i="3"/>
  <c r="G278" i="3" a="1"/>
  <c r="G278" i="3"/>
  <c r="G279" i="3" a="1"/>
  <c r="G279" i="3"/>
  <c r="G280" i="3" a="1"/>
  <c r="G280" i="3"/>
  <c r="G281" i="3" a="1"/>
  <c r="G281" i="3"/>
  <c r="G282" i="3" a="1"/>
  <c r="G282" i="3"/>
  <c r="G283" i="3" a="1"/>
  <c r="G283" i="3"/>
  <c r="G284" i="3" a="1"/>
  <c r="G284" i="3"/>
  <c r="G285" i="3" a="1"/>
  <c r="G285" i="3"/>
  <c r="G286" i="3" a="1"/>
  <c r="G286" i="3"/>
  <c r="G287" i="3" a="1"/>
  <c r="G287" i="3"/>
  <c r="G288" i="3" a="1"/>
  <c r="G288" i="3"/>
  <c r="G2" i="3" a="1"/>
  <c r="G2" i="3"/>
  <c r="F3" i="3" a="1"/>
  <c r="F3" i="3"/>
  <c r="F4" i="3" a="1"/>
  <c r="F4" i="3"/>
  <c r="F5" i="3" a="1"/>
  <c r="F5" i="3"/>
  <c r="F6" i="3" a="1"/>
  <c r="F6" i="3"/>
  <c r="F7" i="3" a="1"/>
  <c r="F7" i="3"/>
  <c r="F8" i="3" a="1"/>
  <c r="F8" i="3"/>
  <c r="F9" i="3" a="1"/>
  <c r="F9" i="3"/>
  <c r="F10" i="3" a="1"/>
  <c r="F10" i="3"/>
  <c r="F11" i="3" a="1"/>
  <c r="F11" i="3"/>
  <c r="F12" i="3" a="1"/>
  <c r="F12" i="3"/>
  <c r="F13" i="3" a="1"/>
  <c r="F13" i="3"/>
  <c r="F14" i="3" a="1"/>
  <c r="F14" i="3"/>
  <c r="F15" i="3" a="1"/>
  <c r="F15" i="3"/>
  <c r="F16" i="3" a="1"/>
  <c r="F16" i="3"/>
  <c r="F17" i="3" a="1"/>
  <c r="F17" i="3"/>
  <c r="F18" i="3" a="1"/>
  <c r="F18" i="3"/>
  <c r="F19" i="3" a="1"/>
  <c r="F19" i="3"/>
  <c r="F20" i="3" a="1"/>
  <c r="F20" i="3"/>
  <c r="F21" i="3" a="1"/>
  <c r="F21" i="3"/>
  <c r="F22" i="3" a="1"/>
  <c r="F22" i="3"/>
  <c r="F23" i="3" a="1"/>
  <c r="F23" i="3"/>
  <c r="F24" i="3" a="1"/>
  <c r="F24" i="3"/>
  <c r="F25" i="3" a="1"/>
  <c r="F25" i="3"/>
  <c r="F26" i="3" a="1"/>
  <c r="F26" i="3"/>
  <c r="F27" i="3" a="1"/>
  <c r="F27" i="3"/>
  <c r="F28" i="3" a="1"/>
  <c r="F28" i="3"/>
  <c r="F29" i="3" a="1"/>
  <c r="F29" i="3"/>
  <c r="F30" i="3" a="1"/>
  <c r="F30" i="3"/>
  <c r="F31" i="3" a="1"/>
  <c r="F31" i="3"/>
  <c r="F32" i="3" a="1"/>
  <c r="F32" i="3"/>
  <c r="F33" i="3" a="1"/>
  <c r="F33" i="3"/>
  <c r="F34" i="3" a="1"/>
  <c r="F34" i="3"/>
  <c r="F35" i="3" a="1"/>
  <c r="F35" i="3"/>
  <c r="F36" i="3" a="1"/>
  <c r="F36" i="3"/>
  <c r="F37" i="3" a="1"/>
  <c r="F37" i="3"/>
  <c r="F38" i="3" a="1"/>
  <c r="F38" i="3"/>
  <c r="F39" i="3" a="1"/>
  <c r="F39" i="3"/>
  <c r="F40" i="3" a="1"/>
  <c r="F40" i="3"/>
  <c r="F41" i="3" a="1"/>
  <c r="F41" i="3"/>
  <c r="F42" i="3" a="1"/>
  <c r="F42" i="3"/>
  <c r="F43" i="3" a="1"/>
  <c r="F43" i="3"/>
  <c r="F44" i="3" a="1"/>
  <c r="F44" i="3"/>
  <c r="F45" i="3" a="1"/>
  <c r="F45" i="3"/>
  <c r="F46" i="3" a="1"/>
  <c r="F46" i="3"/>
  <c r="F47" i="3" a="1"/>
  <c r="F47" i="3"/>
  <c r="F48" i="3" a="1"/>
  <c r="F48" i="3"/>
  <c r="F49" i="3" a="1"/>
  <c r="F49" i="3"/>
  <c r="F50" i="3" a="1"/>
  <c r="F50" i="3"/>
  <c r="F51" i="3" a="1"/>
  <c r="F51" i="3"/>
  <c r="F52" i="3" a="1"/>
  <c r="F52" i="3"/>
  <c r="F53" i="3" a="1"/>
  <c r="F53" i="3"/>
  <c r="F54" i="3" a="1"/>
  <c r="F54" i="3"/>
  <c r="F55" i="3" a="1"/>
  <c r="F55" i="3"/>
  <c r="F56" i="3" a="1"/>
  <c r="F56" i="3"/>
  <c r="F57" i="3" a="1"/>
  <c r="F57" i="3"/>
  <c r="F58" i="3" a="1"/>
  <c r="F58" i="3"/>
  <c r="F59" i="3" a="1"/>
  <c r="F59" i="3"/>
  <c r="F60" i="3" a="1"/>
  <c r="F60" i="3"/>
  <c r="F61" i="3" a="1"/>
  <c r="F61" i="3"/>
  <c r="F62" i="3" a="1"/>
  <c r="F62" i="3"/>
  <c r="F63" i="3" a="1"/>
  <c r="F63" i="3"/>
  <c r="F64" i="3" a="1"/>
  <c r="F64" i="3"/>
  <c r="F65" i="3" a="1"/>
  <c r="F65" i="3"/>
  <c r="F66" i="3" a="1"/>
  <c r="F66" i="3"/>
  <c r="F67" i="3" a="1"/>
  <c r="F67" i="3"/>
  <c r="F68" i="3" a="1"/>
  <c r="F68" i="3"/>
  <c r="F69" i="3" a="1"/>
  <c r="F69" i="3"/>
  <c r="F70" i="3" a="1"/>
  <c r="F70" i="3"/>
  <c r="F71" i="3" a="1"/>
  <c r="F71" i="3"/>
  <c r="F72" i="3" a="1"/>
  <c r="F72" i="3"/>
  <c r="F73" i="3" a="1"/>
  <c r="F73" i="3"/>
  <c r="F74" i="3" a="1"/>
  <c r="F74" i="3"/>
  <c r="F75" i="3" a="1"/>
  <c r="F75" i="3"/>
  <c r="F76" i="3" a="1"/>
  <c r="F76" i="3"/>
  <c r="F77" i="3" a="1"/>
  <c r="F77" i="3"/>
  <c r="F78" i="3" a="1"/>
  <c r="F78" i="3"/>
  <c r="F79" i="3" a="1"/>
  <c r="F79" i="3"/>
  <c r="F80" i="3" a="1"/>
  <c r="F80" i="3"/>
  <c r="F81" i="3" a="1"/>
  <c r="F81" i="3"/>
  <c r="F82" i="3" a="1"/>
  <c r="F82" i="3"/>
  <c r="F83" i="3" a="1"/>
  <c r="F83" i="3"/>
  <c r="F84" i="3" a="1"/>
  <c r="F84" i="3"/>
  <c r="F85" i="3" a="1"/>
  <c r="F85" i="3"/>
  <c r="F86" i="3" a="1"/>
  <c r="F86" i="3"/>
  <c r="F87" i="3" a="1"/>
  <c r="F87" i="3"/>
  <c r="F88" i="3" a="1"/>
  <c r="F88" i="3"/>
  <c r="F89" i="3" a="1"/>
  <c r="F89" i="3"/>
  <c r="F90" i="3" a="1"/>
  <c r="F90" i="3"/>
  <c r="F91" i="3" a="1"/>
  <c r="F91" i="3"/>
  <c r="F92" i="3" a="1"/>
  <c r="F92" i="3"/>
  <c r="F93" i="3" a="1"/>
  <c r="F93" i="3"/>
  <c r="F94" i="3" a="1"/>
  <c r="F94" i="3"/>
  <c r="F95" i="3" a="1"/>
  <c r="F95" i="3"/>
  <c r="F96" i="3" a="1"/>
  <c r="F96" i="3"/>
  <c r="F97" i="3" a="1"/>
  <c r="F97" i="3"/>
  <c r="F98" i="3" a="1"/>
  <c r="F98" i="3"/>
  <c r="F99" i="3" a="1"/>
  <c r="F99" i="3"/>
  <c r="F100" i="3" a="1"/>
  <c r="F100" i="3"/>
  <c r="F101" i="3" a="1"/>
  <c r="F101" i="3"/>
  <c r="F102" i="3" a="1"/>
  <c r="F102" i="3"/>
  <c r="F103" i="3" a="1"/>
  <c r="F103" i="3"/>
  <c r="F104" i="3" a="1"/>
  <c r="F104" i="3"/>
  <c r="F105" i="3" a="1"/>
  <c r="F105" i="3"/>
  <c r="F106" i="3" a="1"/>
  <c r="F106" i="3"/>
  <c r="F107" i="3" a="1"/>
  <c r="F107" i="3"/>
  <c r="F108" i="3" a="1"/>
  <c r="F108" i="3"/>
  <c r="F109" i="3" a="1"/>
  <c r="F109" i="3"/>
  <c r="F110" i="3" a="1"/>
  <c r="F110" i="3"/>
  <c r="F111" i="3" a="1"/>
  <c r="F111" i="3"/>
  <c r="F112" i="3" a="1"/>
  <c r="F112" i="3"/>
  <c r="F113" i="3" a="1"/>
  <c r="F113" i="3"/>
  <c r="F114" i="3" a="1"/>
  <c r="F114" i="3"/>
  <c r="F115" i="3" a="1"/>
  <c r="F115" i="3"/>
  <c r="F116" i="3" a="1"/>
  <c r="F116" i="3"/>
  <c r="F117" i="3" a="1"/>
  <c r="F117" i="3"/>
  <c r="F118" i="3" a="1"/>
  <c r="F118" i="3"/>
  <c r="F119" i="3" a="1"/>
  <c r="F119" i="3"/>
  <c r="F120" i="3" a="1"/>
  <c r="F120" i="3"/>
  <c r="F121" i="3" a="1"/>
  <c r="F121" i="3"/>
  <c r="F122" i="3" a="1"/>
  <c r="F122" i="3"/>
  <c r="F123" i="3" a="1"/>
  <c r="F123" i="3"/>
  <c r="F124" i="3" a="1"/>
  <c r="F124" i="3"/>
  <c r="F125" i="3" a="1"/>
  <c r="F125" i="3"/>
  <c r="F126" i="3" a="1"/>
  <c r="F126" i="3"/>
  <c r="F127" i="3" a="1"/>
  <c r="F127" i="3"/>
  <c r="F128" i="3" a="1"/>
  <c r="F128" i="3"/>
  <c r="F129" i="3" a="1"/>
  <c r="F129" i="3"/>
  <c r="F130" i="3" a="1"/>
  <c r="F130" i="3"/>
  <c r="F131" i="3" a="1"/>
  <c r="F131" i="3"/>
  <c r="F132" i="3" a="1"/>
  <c r="F132" i="3"/>
  <c r="F133" i="3" a="1"/>
  <c r="F133" i="3"/>
  <c r="F134" i="3" a="1"/>
  <c r="F134" i="3"/>
  <c r="F135" i="3" a="1"/>
  <c r="F135" i="3"/>
  <c r="F136" i="3" a="1"/>
  <c r="F136" i="3"/>
  <c r="F137" i="3" a="1"/>
  <c r="F137" i="3"/>
  <c r="F138" i="3" a="1"/>
  <c r="F138" i="3"/>
  <c r="F139" i="3" a="1"/>
  <c r="F139" i="3"/>
  <c r="F140" i="3" a="1"/>
  <c r="F140" i="3"/>
  <c r="F141" i="3" a="1"/>
  <c r="F141" i="3"/>
  <c r="F142" i="3" a="1"/>
  <c r="F142" i="3"/>
  <c r="F143" i="3" a="1"/>
  <c r="F143" i="3"/>
  <c r="F144" i="3" a="1"/>
  <c r="F144" i="3"/>
  <c r="F145" i="3" a="1"/>
  <c r="F145" i="3"/>
  <c r="F146" i="3" a="1"/>
  <c r="F146" i="3"/>
  <c r="F147" i="3" a="1"/>
  <c r="F147" i="3"/>
  <c r="F148" i="3" a="1"/>
  <c r="F148" i="3"/>
  <c r="F149" i="3" a="1"/>
  <c r="F149" i="3"/>
  <c r="F150" i="3" a="1"/>
  <c r="F150" i="3"/>
  <c r="F151" i="3" a="1"/>
  <c r="F151" i="3"/>
  <c r="F152" i="3" a="1"/>
  <c r="F152" i="3"/>
  <c r="F153" i="3" a="1"/>
  <c r="F153" i="3"/>
  <c r="F154" i="3" a="1"/>
  <c r="F154" i="3"/>
  <c r="F155" i="3" a="1"/>
  <c r="F155" i="3"/>
  <c r="F156" i="3" a="1"/>
  <c r="F156" i="3"/>
  <c r="F157" i="3" a="1"/>
  <c r="F157" i="3"/>
  <c r="F158" i="3" a="1"/>
  <c r="F158" i="3"/>
  <c r="F159" i="3" a="1"/>
  <c r="F159" i="3"/>
  <c r="F160" i="3" a="1"/>
  <c r="F160" i="3"/>
  <c r="F161" i="3" a="1"/>
  <c r="F161" i="3"/>
  <c r="F162" i="3" a="1"/>
  <c r="F162" i="3"/>
  <c r="F163" i="3" a="1"/>
  <c r="F163" i="3"/>
  <c r="F164" i="3" a="1"/>
  <c r="F164" i="3"/>
  <c r="F165" i="3" a="1"/>
  <c r="F165" i="3"/>
  <c r="F166" i="3" a="1"/>
  <c r="F166" i="3"/>
  <c r="F167" i="3" a="1"/>
  <c r="F167" i="3"/>
  <c r="F168" i="3" a="1"/>
  <c r="F168" i="3"/>
  <c r="F169" i="3" a="1"/>
  <c r="F169" i="3"/>
  <c r="F170" i="3" a="1"/>
  <c r="F170" i="3"/>
  <c r="F171" i="3" a="1"/>
  <c r="F171" i="3"/>
  <c r="F172" i="3" a="1"/>
  <c r="F172" i="3"/>
  <c r="F173" i="3" a="1"/>
  <c r="F173" i="3"/>
  <c r="F174" i="3" a="1"/>
  <c r="F174" i="3"/>
  <c r="F175" i="3" a="1"/>
  <c r="F175" i="3"/>
  <c r="F176" i="3" a="1"/>
  <c r="F176" i="3"/>
  <c r="F177" i="3" a="1"/>
  <c r="F177" i="3"/>
  <c r="F178" i="3" a="1"/>
  <c r="F178" i="3"/>
  <c r="F179" i="3" a="1"/>
  <c r="F179" i="3"/>
  <c r="F180" i="3" a="1"/>
  <c r="F180" i="3"/>
  <c r="F181" i="3" a="1"/>
  <c r="F181" i="3"/>
  <c r="F182" i="3" a="1"/>
  <c r="F182" i="3"/>
  <c r="F183" i="3" a="1"/>
  <c r="F183" i="3"/>
  <c r="F184" i="3" a="1"/>
  <c r="F184" i="3"/>
  <c r="F185" i="3" a="1"/>
  <c r="F185" i="3"/>
  <c r="F186" i="3" a="1"/>
  <c r="F186" i="3"/>
  <c r="F187" i="3" a="1"/>
  <c r="F187" i="3"/>
  <c r="F188" i="3" a="1"/>
  <c r="F188" i="3"/>
  <c r="F189" i="3" a="1"/>
  <c r="F189" i="3"/>
  <c r="F190" i="3" a="1"/>
  <c r="F190" i="3"/>
  <c r="F191" i="3" a="1"/>
  <c r="F191" i="3"/>
  <c r="F192" i="3" a="1"/>
  <c r="F192" i="3"/>
  <c r="F193" i="3" a="1"/>
  <c r="F193" i="3"/>
  <c r="F194" i="3" a="1"/>
  <c r="F194" i="3"/>
  <c r="F195" i="3" a="1"/>
  <c r="F195" i="3"/>
  <c r="F196" i="3" a="1"/>
  <c r="F196" i="3"/>
  <c r="F197" i="3" a="1"/>
  <c r="F197" i="3"/>
  <c r="F198" i="3" a="1"/>
  <c r="F198" i="3"/>
  <c r="F199" i="3" a="1"/>
  <c r="F199" i="3"/>
  <c r="F200" i="3" a="1"/>
  <c r="F200" i="3"/>
  <c r="F201" i="3" a="1"/>
  <c r="F201" i="3"/>
  <c r="F202" i="3" a="1"/>
  <c r="F202" i="3"/>
  <c r="F203" i="3" a="1"/>
  <c r="F203" i="3"/>
  <c r="F204" i="3" a="1"/>
  <c r="F204" i="3"/>
  <c r="F205" i="3" a="1"/>
  <c r="F205" i="3"/>
  <c r="F206" i="3" a="1"/>
  <c r="F206" i="3"/>
  <c r="F207" i="3" a="1"/>
  <c r="F207" i="3"/>
  <c r="F208" i="3" a="1"/>
  <c r="F208" i="3"/>
  <c r="F209" i="3" a="1"/>
  <c r="F209" i="3"/>
  <c r="F210" i="3" a="1"/>
  <c r="F210" i="3"/>
  <c r="F211" i="3" a="1"/>
  <c r="F211" i="3"/>
  <c r="F212" i="3" a="1"/>
  <c r="F212" i="3"/>
  <c r="F213" i="3" a="1"/>
  <c r="F213" i="3"/>
  <c r="F214" i="3" a="1"/>
  <c r="F214" i="3"/>
  <c r="F215" i="3" a="1"/>
  <c r="F215" i="3"/>
  <c r="F216" i="3" a="1"/>
  <c r="F216" i="3"/>
  <c r="F217" i="3" a="1"/>
  <c r="F217" i="3"/>
  <c r="F218" i="3" a="1"/>
  <c r="F218" i="3"/>
  <c r="F219" i="3" a="1"/>
  <c r="F219" i="3"/>
  <c r="F220" i="3" a="1"/>
  <c r="F220" i="3"/>
  <c r="F221" i="3" a="1"/>
  <c r="F221" i="3"/>
  <c r="F222" i="3" a="1"/>
  <c r="F222" i="3"/>
  <c r="F223" i="3" a="1"/>
  <c r="F223" i="3"/>
  <c r="F224" i="3" a="1"/>
  <c r="F224" i="3"/>
  <c r="F225" i="3" a="1"/>
  <c r="F225" i="3"/>
  <c r="F226" i="3" a="1"/>
  <c r="F226" i="3"/>
  <c r="F227" i="3" a="1"/>
  <c r="F227" i="3"/>
  <c r="F228" i="3" a="1"/>
  <c r="F228" i="3"/>
  <c r="F229" i="3" a="1"/>
  <c r="F229" i="3"/>
  <c r="F230" i="3" a="1"/>
  <c r="F230" i="3"/>
  <c r="F231" i="3" a="1"/>
  <c r="F231" i="3"/>
  <c r="F232" i="3" a="1"/>
  <c r="F232" i="3"/>
  <c r="F233" i="3" a="1"/>
  <c r="F233" i="3"/>
  <c r="F234" i="3" a="1"/>
  <c r="F234" i="3"/>
  <c r="F235" i="3" a="1"/>
  <c r="F235" i="3"/>
  <c r="F236" i="3" a="1"/>
  <c r="F236" i="3"/>
  <c r="F237" i="3" a="1"/>
  <c r="F237" i="3"/>
  <c r="F238" i="3" a="1"/>
  <c r="F238" i="3"/>
  <c r="F239" i="3" a="1"/>
  <c r="F239" i="3"/>
  <c r="F240" i="3" a="1"/>
  <c r="F240" i="3"/>
  <c r="F241" i="3" a="1"/>
  <c r="F241" i="3"/>
  <c r="F242" i="3" a="1"/>
  <c r="F242" i="3"/>
  <c r="F243" i="3" a="1"/>
  <c r="F243" i="3"/>
  <c r="F244" i="3" a="1"/>
  <c r="F244" i="3"/>
  <c r="F245" i="3" a="1"/>
  <c r="F245" i="3"/>
  <c r="F246" i="3" a="1"/>
  <c r="F246" i="3"/>
  <c r="F247" i="3" a="1"/>
  <c r="F247" i="3"/>
  <c r="F248" i="3" a="1"/>
  <c r="F248" i="3"/>
  <c r="F249" i="3" a="1"/>
  <c r="F249" i="3"/>
  <c r="F250" i="3" a="1"/>
  <c r="F250" i="3"/>
  <c r="F251" i="3" a="1"/>
  <c r="F251" i="3"/>
  <c r="F252" i="3" a="1"/>
  <c r="F252" i="3"/>
  <c r="F253" i="3" a="1"/>
  <c r="F253" i="3"/>
  <c r="F254" i="3" a="1"/>
  <c r="F254" i="3"/>
  <c r="F255" i="3" a="1"/>
  <c r="F255" i="3"/>
  <c r="F256" i="3" a="1"/>
  <c r="F256" i="3"/>
  <c r="F257" i="3" a="1"/>
  <c r="F257" i="3"/>
  <c r="F258" i="3" a="1"/>
  <c r="F258" i="3"/>
  <c r="F259" i="3" a="1"/>
  <c r="F259" i="3"/>
  <c r="F260" i="3" a="1"/>
  <c r="F260" i="3"/>
  <c r="F261" i="3" a="1"/>
  <c r="F261" i="3"/>
  <c r="F262" i="3" a="1"/>
  <c r="F262" i="3"/>
  <c r="F263" i="3" a="1"/>
  <c r="F263" i="3"/>
  <c r="F264" i="3" a="1"/>
  <c r="F264" i="3"/>
  <c r="F265" i="3" a="1"/>
  <c r="F265" i="3"/>
  <c r="F266" i="3" a="1"/>
  <c r="F266" i="3"/>
  <c r="F267" i="3" a="1"/>
  <c r="F267" i="3"/>
  <c r="F268" i="3" a="1"/>
  <c r="F268" i="3"/>
  <c r="F269" i="3" a="1"/>
  <c r="F269" i="3"/>
  <c r="F270" i="3" a="1"/>
  <c r="F270" i="3"/>
  <c r="F271" i="3" a="1"/>
  <c r="F271" i="3"/>
  <c r="F272" i="3" a="1"/>
  <c r="F272" i="3"/>
  <c r="F273" i="3" a="1"/>
  <c r="F273" i="3"/>
  <c r="F274" i="3" a="1"/>
  <c r="F274" i="3"/>
  <c r="F275" i="3" a="1"/>
  <c r="F275" i="3"/>
  <c r="F276" i="3" a="1"/>
  <c r="F276" i="3"/>
  <c r="F277" i="3" a="1"/>
  <c r="F277" i="3"/>
  <c r="F278" i="3" a="1"/>
  <c r="F278" i="3"/>
  <c r="F279" i="3" a="1"/>
  <c r="F279" i="3"/>
  <c r="F280" i="3" a="1"/>
  <c r="F280" i="3"/>
  <c r="F281" i="3" a="1"/>
  <c r="F281" i="3"/>
  <c r="F282" i="3" a="1"/>
  <c r="F282" i="3"/>
  <c r="F283" i="3" a="1"/>
  <c r="F283" i="3"/>
  <c r="F284" i="3" a="1"/>
  <c r="F284" i="3"/>
  <c r="F285" i="3" a="1"/>
  <c r="F285" i="3"/>
  <c r="F286" i="3" a="1"/>
  <c r="F286" i="3"/>
  <c r="F287" i="3" a="1"/>
  <c r="F287" i="3"/>
  <c r="F288" i="3" a="1"/>
  <c r="F288" i="3"/>
  <c r="F2" i="3" a="1"/>
  <c r="F2" i="3"/>
  <c r="E5" i="2"/>
  <c r="F5" i="2"/>
  <c r="G5" i="2"/>
  <c r="H5" i="2"/>
  <c r="E6" i="2"/>
  <c r="F6" i="2"/>
  <c r="G6" i="2"/>
  <c r="H6" i="2"/>
  <c r="E7" i="2"/>
  <c r="F7" i="2"/>
  <c r="G7" i="2"/>
  <c r="H7" i="2"/>
  <c r="E8" i="2"/>
  <c r="F8" i="2"/>
  <c r="G8" i="2"/>
  <c r="H8" i="2"/>
  <c r="E9" i="2"/>
  <c r="F9" i="2"/>
  <c r="G9" i="2"/>
  <c r="H9" i="2"/>
  <c r="E10" i="2"/>
  <c r="F10" i="2"/>
  <c r="G10" i="2"/>
  <c r="H10" i="2"/>
  <c r="E11" i="2"/>
  <c r="F11" i="2"/>
  <c r="G11" i="2"/>
  <c r="H11" i="2"/>
  <c r="E12" i="2"/>
  <c r="F12" i="2"/>
  <c r="G12" i="2"/>
  <c r="H12" i="2"/>
  <c r="E13" i="2"/>
  <c r="F13" i="2"/>
  <c r="G13" i="2"/>
  <c r="H13" i="2"/>
  <c r="E14" i="2"/>
  <c r="F14" i="2"/>
  <c r="G14" i="2"/>
  <c r="H14" i="2"/>
  <c r="E15" i="2"/>
  <c r="F15" i="2"/>
  <c r="G15" i="2"/>
  <c r="H15" i="2"/>
  <c r="E16" i="2"/>
  <c r="F16" i="2"/>
  <c r="G16" i="2"/>
  <c r="H16" i="2"/>
  <c r="E17" i="2"/>
  <c r="F17" i="2"/>
  <c r="G17" i="2"/>
  <c r="H17" i="2"/>
  <c r="E18" i="2"/>
  <c r="F18" i="2"/>
  <c r="G18" i="2"/>
  <c r="H18" i="2"/>
  <c r="E19" i="2"/>
  <c r="F19" i="2"/>
  <c r="G19" i="2"/>
  <c r="H19" i="2"/>
  <c r="E20" i="2"/>
  <c r="F20" i="2"/>
  <c r="G20" i="2"/>
  <c r="H20" i="2"/>
  <c r="E21" i="2"/>
  <c r="F21" i="2"/>
  <c r="G21" i="2"/>
  <c r="H21" i="2"/>
  <c r="E22" i="2"/>
  <c r="F22" i="2"/>
  <c r="G22" i="2"/>
  <c r="H22" i="2"/>
  <c r="E23" i="2"/>
  <c r="F23" i="2"/>
  <c r="G23" i="2"/>
  <c r="H23" i="2"/>
  <c r="E24" i="2"/>
  <c r="F24" i="2"/>
  <c r="G24" i="2"/>
  <c r="H24" i="2"/>
  <c r="E25" i="2"/>
  <c r="F25" i="2"/>
  <c r="G25" i="2"/>
  <c r="H25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E38" i="2"/>
  <c r="F38" i="2"/>
  <c r="G38" i="2"/>
  <c r="H38" i="2"/>
  <c r="E39" i="2"/>
  <c r="F39" i="2"/>
  <c r="G39" i="2"/>
  <c r="H39" i="2"/>
  <c r="E40" i="2"/>
  <c r="F40" i="2"/>
  <c r="G40" i="2"/>
  <c r="H40" i="2"/>
  <c r="E41" i="2"/>
  <c r="F41" i="2"/>
  <c r="G41" i="2"/>
  <c r="H41" i="2"/>
  <c r="E42" i="2"/>
  <c r="F42" i="2"/>
  <c r="G42" i="2"/>
  <c r="H42" i="2"/>
  <c r="E43" i="2"/>
  <c r="F43" i="2"/>
  <c r="G43" i="2"/>
  <c r="H43" i="2"/>
  <c r="E44" i="2"/>
  <c r="F44" i="2"/>
  <c r="G44" i="2"/>
  <c r="H44" i="2"/>
  <c r="E45" i="2"/>
  <c r="F45" i="2"/>
  <c r="G45" i="2"/>
  <c r="H45" i="2"/>
  <c r="E46" i="2"/>
  <c r="F46" i="2"/>
  <c r="G46" i="2"/>
  <c r="H46" i="2"/>
  <c r="E47" i="2"/>
  <c r="F47" i="2"/>
  <c r="G47" i="2"/>
  <c r="H47" i="2"/>
  <c r="E48" i="2"/>
  <c r="F48" i="2"/>
  <c r="G48" i="2"/>
  <c r="H48" i="2"/>
  <c r="E49" i="2"/>
  <c r="F49" i="2"/>
  <c r="G49" i="2"/>
  <c r="H49" i="2"/>
  <c r="E50" i="2"/>
  <c r="F50" i="2"/>
  <c r="G50" i="2"/>
  <c r="H50" i="2"/>
  <c r="E51" i="2"/>
  <c r="F51" i="2"/>
  <c r="G51" i="2"/>
  <c r="H51" i="2"/>
  <c r="E52" i="2"/>
  <c r="F52" i="2"/>
  <c r="G52" i="2"/>
  <c r="H52" i="2"/>
  <c r="E53" i="2"/>
  <c r="F53" i="2"/>
  <c r="G53" i="2"/>
  <c r="H53" i="2"/>
  <c r="E54" i="2"/>
  <c r="F54" i="2"/>
  <c r="G54" i="2"/>
  <c r="H54" i="2"/>
  <c r="E55" i="2"/>
  <c r="F55" i="2"/>
  <c r="G55" i="2"/>
  <c r="H55" i="2"/>
  <c r="E56" i="2"/>
  <c r="F56" i="2"/>
  <c r="G56" i="2"/>
  <c r="H56" i="2"/>
  <c r="E57" i="2"/>
  <c r="F57" i="2"/>
  <c r="G57" i="2"/>
  <c r="H57" i="2"/>
  <c r="E58" i="2"/>
  <c r="F58" i="2"/>
  <c r="G58" i="2"/>
  <c r="H58" i="2"/>
  <c r="E59" i="2"/>
  <c r="F59" i="2"/>
  <c r="G59" i="2"/>
  <c r="H59" i="2"/>
  <c r="E60" i="2"/>
  <c r="F60" i="2"/>
  <c r="G60" i="2"/>
  <c r="H60" i="2"/>
  <c r="E61" i="2"/>
  <c r="F61" i="2"/>
  <c r="G61" i="2"/>
  <c r="H61" i="2"/>
  <c r="E62" i="2"/>
  <c r="F62" i="2"/>
  <c r="G62" i="2"/>
  <c r="H62" i="2"/>
  <c r="E63" i="2"/>
  <c r="F63" i="2"/>
  <c r="G63" i="2"/>
  <c r="H63" i="2"/>
  <c r="E64" i="2"/>
  <c r="F64" i="2"/>
  <c r="G64" i="2"/>
  <c r="H64" i="2"/>
  <c r="E65" i="2"/>
  <c r="F65" i="2"/>
  <c r="G65" i="2"/>
  <c r="H65" i="2"/>
  <c r="E66" i="2"/>
  <c r="F66" i="2"/>
  <c r="G66" i="2"/>
  <c r="H66" i="2"/>
  <c r="E67" i="2"/>
  <c r="F67" i="2"/>
  <c r="G67" i="2"/>
  <c r="H67" i="2"/>
  <c r="E68" i="2"/>
  <c r="F68" i="2"/>
  <c r="G68" i="2"/>
  <c r="H68" i="2"/>
  <c r="E69" i="2"/>
  <c r="F69" i="2"/>
  <c r="G69" i="2"/>
  <c r="H69" i="2"/>
  <c r="E70" i="2"/>
  <c r="F70" i="2"/>
  <c r="G70" i="2"/>
  <c r="H70" i="2"/>
  <c r="E71" i="2"/>
  <c r="F71" i="2"/>
  <c r="G71" i="2"/>
  <c r="H71" i="2"/>
  <c r="E72" i="2"/>
  <c r="F72" i="2"/>
  <c r="G72" i="2"/>
  <c r="H72" i="2"/>
  <c r="E73" i="2"/>
  <c r="F73" i="2"/>
  <c r="G73" i="2"/>
  <c r="H73" i="2"/>
  <c r="E74" i="2"/>
  <c r="F74" i="2"/>
  <c r="G74" i="2"/>
  <c r="H74" i="2"/>
  <c r="E75" i="2"/>
  <c r="F75" i="2"/>
  <c r="G75" i="2"/>
  <c r="H75" i="2"/>
  <c r="E76" i="2"/>
  <c r="F76" i="2"/>
  <c r="G76" i="2"/>
  <c r="H76" i="2"/>
  <c r="E77" i="2"/>
  <c r="F77" i="2"/>
  <c r="G77" i="2"/>
  <c r="H77" i="2"/>
  <c r="E78" i="2"/>
  <c r="F78" i="2"/>
  <c r="G78" i="2"/>
  <c r="H78" i="2"/>
  <c r="E79" i="2"/>
  <c r="F79" i="2"/>
  <c r="G79" i="2"/>
  <c r="H79" i="2"/>
  <c r="E80" i="2"/>
  <c r="F80" i="2"/>
  <c r="G80" i="2"/>
  <c r="H80" i="2"/>
  <c r="E81" i="2"/>
  <c r="F81" i="2"/>
  <c r="G81" i="2"/>
  <c r="H81" i="2"/>
  <c r="E82" i="2"/>
  <c r="F82" i="2"/>
  <c r="G82" i="2"/>
  <c r="H82" i="2"/>
  <c r="E83" i="2"/>
  <c r="F83" i="2"/>
  <c r="G83" i="2"/>
  <c r="H83" i="2"/>
  <c r="E84" i="2"/>
  <c r="F84" i="2"/>
  <c r="G84" i="2"/>
  <c r="H84" i="2"/>
  <c r="E85" i="2"/>
  <c r="F85" i="2"/>
  <c r="G85" i="2"/>
  <c r="H85" i="2"/>
  <c r="E86" i="2"/>
  <c r="F86" i="2"/>
  <c r="G86" i="2"/>
  <c r="H86" i="2"/>
  <c r="E87" i="2"/>
  <c r="F87" i="2"/>
  <c r="G87" i="2"/>
  <c r="H87" i="2"/>
  <c r="E88" i="2"/>
  <c r="F88" i="2"/>
  <c r="G88" i="2"/>
  <c r="H88" i="2"/>
  <c r="E89" i="2"/>
  <c r="F89" i="2"/>
  <c r="G89" i="2"/>
  <c r="H89" i="2"/>
  <c r="E90" i="2"/>
  <c r="F90" i="2"/>
  <c r="G90" i="2"/>
  <c r="H90" i="2"/>
  <c r="E91" i="2"/>
  <c r="F91" i="2"/>
  <c r="G91" i="2"/>
  <c r="H91" i="2"/>
  <c r="E92" i="2"/>
  <c r="F92" i="2"/>
  <c r="G92" i="2"/>
  <c r="H92" i="2"/>
  <c r="E93" i="2"/>
  <c r="F93" i="2"/>
  <c r="G93" i="2"/>
  <c r="H93" i="2"/>
  <c r="E94" i="2"/>
  <c r="F94" i="2"/>
  <c r="G94" i="2"/>
  <c r="H94" i="2"/>
  <c r="E95" i="2"/>
  <c r="F95" i="2"/>
  <c r="G95" i="2"/>
  <c r="H95" i="2"/>
  <c r="E96" i="2"/>
  <c r="F96" i="2"/>
  <c r="G96" i="2"/>
  <c r="H96" i="2"/>
  <c r="E97" i="2"/>
  <c r="F97" i="2"/>
  <c r="G97" i="2"/>
  <c r="H97" i="2"/>
  <c r="E98" i="2"/>
  <c r="F98" i="2"/>
  <c r="G98" i="2"/>
  <c r="H98" i="2"/>
  <c r="E99" i="2"/>
  <c r="F99" i="2"/>
  <c r="G99" i="2"/>
  <c r="H99" i="2"/>
  <c r="E100" i="2"/>
  <c r="F100" i="2"/>
  <c r="G100" i="2"/>
  <c r="H100" i="2"/>
  <c r="E101" i="2"/>
  <c r="F101" i="2"/>
  <c r="G101" i="2"/>
  <c r="H101" i="2"/>
  <c r="E102" i="2"/>
  <c r="F102" i="2"/>
  <c r="G102" i="2"/>
  <c r="H102" i="2"/>
  <c r="E103" i="2"/>
  <c r="F103" i="2"/>
  <c r="G103" i="2"/>
  <c r="H103" i="2"/>
  <c r="E104" i="2"/>
  <c r="F104" i="2"/>
  <c r="G104" i="2"/>
  <c r="H104" i="2"/>
  <c r="E105" i="2"/>
  <c r="F105" i="2"/>
  <c r="G105" i="2"/>
  <c r="H105" i="2"/>
  <c r="E106" i="2"/>
  <c r="F106" i="2"/>
  <c r="G106" i="2"/>
  <c r="H106" i="2"/>
  <c r="E107" i="2"/>
  <c r="F107" i="2"/>
  <c r="G107" i="2"/>
  <c r="H107" i="2"/>
  <c r="E108" i="2"/>
  <c r="F108" i="2"/>
  <c r="G108" i="2"/>
  <c r="H108" i="2"/>
  <c r="E109" i="2"/>
  <c r="F109" i="2"/>
  <c r="G109" i="2"/>
  <c r="H109" i="2"/>
  <c r="E110" i="2"/>
  <c r="F110" i="2"/>
  <c r="G110" i="2"/>
  <c r="H110" i="2"/>
  <c r="E111" i="2"/>
  <c r="F111" i="2"/>
  <c r="G111" i="2"/>
  <c r="H111" i="2"/>
  <c r="E112" i="2"/>
  <c r="F112" i="2"/>
  <c r="G112" i="2"/>
  <c r="H112" i="2"/>
  <c r="E113" i="2"/>
  <c r="F113" i="2"/>
  <c r="G113" i="2"/>
  <c r="H113" i="2"/>
  <c r="E114" i="2"/>
  <c r="F114" i="2"/>
  <c r="G114" i="2"/>
  <c r="H114" i="2"/>
  <c r="E115" i="2"/>
  <c r="F115" i="2"/>
  <c r="G115" i="2"/>
  <c r="H115" i="2"/>
  <c r="E116" i="2"/>
  <c r="F116" i="2"/>
  <c r="G116" i="2"/>
  <c r="H116" i="2"/>
  <c r="E117" i="2"/>
  <c r="F117" i="2"/>
  <c r="G117" i="2"/>
  <c r="H117" i="2"/>
  <c r="E118" i="2"/>
  <c r="F118" i="2"/>
  <c r="G118" i="2"/>
  <c r="H118" i="2"/>
  <c r="E119" i="2"/>
  <c r="F119" i="2"/>
  <c r="G119" i="2"/>
  <c r="H119" i="2"/>
  <c r="E120" i="2"/>
  <c r="F120" i="2"/>
  <c r="G120" i="2"/>
  <c r="H120" i="2"/>
  <c r="E121" i="2"/>
  <c r="F121" i="2"/>
  <c r="G121" i="2"/>
  <c r="H121" i="2"/>
  <c r="E122" i="2"/>
  <c r="F122" i="2"/>
  <c r="G122" i="2"/>
  <c r="H122" i="2"/>
  <c r="E123" i="2"/>
  <c r="F123" i="2"/>
  <c r="G123" i="2"/>
  <c r="H123" i="2"/>
  <c r="E124" i="2"/>
  <c r="F124" i="2"/>
  <c r="G124" i="2"/>
  <c r="H124" i="2"/>
  <c r="E125" i="2"/>
  <c r="F125" i="2"/>
  <c r="G125" i="2"/>
  <c r="H125" i="2"/>
  <c r="E126" i="2"/>
  <c r="F126" i="2"/>
  <c r="G126" i="2"/>
  <c r="H126" i="2"/>
  <c r="E127" i="2"/>
  <c r="F127" i="2"/>
  <c r="G127" i="2"/>
  <c r="H127" i="2"/>
  <c r="E128" i="2"/>
  <c r="F128" i="2"/>
  <c r="G128" i="2"/>
  <c r="H128" i="2"/>
  <c r="E129" i="2"/>
  <c r="F129" i="2"/>
  <c r="G129" i="2"/>
  <c r="H129" i="2"/>
  <c r="E130" i="2"/>
  <c r="F130" i="2"/>
  <c r="G130" i="2"/>
  <c r="H130" i="2"/>
  <c r="E131" i="2"/>
  <c r="F131" i="2"/>
  <c r="G131" i="2"/>
  <c r="H131" i="2"/>
  <c r="E132" i="2"/>
  <c r="F132" i="2"/>
  <c r="G132" i="2"/>
  <c r="H132" i="2"/>
  <c r="E133" i="2"/>
  <c r="F133" i="2"/>
  <c r="G133" i="2"/>
  <c r="H133" i="2"/>
  <c r="E134" i="2"/>
  <c r="F134" i="2"/>
  <c r="G134" i="2"/>
  <c r="H134" i="2"/>
  <c r="E135" i="2"/>
  <c r="F135" i="2"/>
  <c r="G135" i="2"/>
  <c r="H135" i="2"/>
  <c r="E136" i="2"/>
  <c r="F136" i="2"/>
  <c r="G136" i="2"/>
  <c r="H136" i="2"/>
  <c r="E137" i="2"/>
  <c r="F137" i="2"/>
  <c r="G137" i="2"/>
  <c r="H137" i="2"/>
  <c r="E138" i="2"/>
  <c r="F138" i="2"/>
  <c r="G138" i="2"/>
  <c r="H138" i="2"/>
  <c r="E139" i="2"/>
  <c r="F139" i="2"/>
  <c r="G139" i="2"/>
  <c r="H139" i="2"/>
  <c r="E140" i="2"/>
  <c r="F140" i="2"/>
  <c r="G140" i="2"/>
  <c r="H140" i="2"/>
  <c r="E141" i="2"/>
  <c r="F141" i="2"/>
  <c r="G141" i="2"/>
  <c r="H141" i="2"/>
  <c r="E142" i="2"/>
  <c r="F142" i="2"/>
  <c r="G142" i="2"/>
  <c r="H142" i="2"/>
  <c r="E143" i="2"/>
  <c r="F143" i="2"/>
  <c r="G143" i="2"/>
  <c r="H143" i="2"/>
  <c r="E144" i="2"/>
  <c r="F144" i="2"/>
  <c r="G144" i="2"/>
  <c r="H144" i="2"/>
  <c r="E145" i="2"/>
  <c r="F145" i="2"/>
  <c r="G145" i="2"/>
  <c r="H145" i="2"/>
  <c r="E146" i="2"/>
  <c r="F146" i="2"/>
  <c r="G146" i="2"/>
  <c r="H146" i="2"/>
  <c r="E147" i="2"/>
  <c r="F147" i="2"/>
  <c r="G147" i="2"/>
  <c r="H147" i="2"/>
  <c r="E148" i="2"/>
  <c r="F148" i="2"/>
  <c r="G148" i="2"/>
  <c r="H148" i="2"/>
  <c r="E149" i="2"/>
  <c r="F149" i="2"/>
  <c r="G149" i="2"/>
  <c r="H149" i="2"/>
  <c r="E150" i="2"/>
  <c r="F150" i="2"/>
  <c r="G150" i="2"/>
  <c r="H150" i="2"/>
  <c r="E151" i="2"/>
  <c r="F151" i="2"/>
  <c r="G151" i="2"/>
  <c r="H151" i="2"/>
  <c r="E152" i="2"/>
  <c r="F152" i="2"/>
  <c r="G152" i="2"/>
  <c r="H152" i="2"/>
  <c r="E153" i="2"/>
  <c r="F153" i="2"/>
  <c r="G153" i="2"/>
  <c r="H153" i="2"/>
  <c r="E154" i="2"/>
  <c r="F154" i="2"/>
  <c r="G154" i="2"/>
  <c r="H154" i="2"/>
  <c r="E155" i="2"/>
  <c r="F155" i="2"/>
  <c r="G155" i="2"/>
  <c r="H155" i="2"/>
  <c r="E156" i="2"/>
  <c r="F156" i="2"/>
  <c r="G156" i="2"/>
  <c r="H156" i="2"/>
  <c r="E157" i="2"/>
  <c r="F157" i="2"/>
  <c r="G157" i="2"/>
  <c r="H157" i="2"/>
  <c r="E158" i="2"/>
  <c r="F158" i="2"/>
  <c r="G158" i="2"/>
  <c r="H158" i="2"/>
  <c r="E159" i="2"/>
  <c r="F159" i="2"/>
  <c r="G159" i="2"/>
  <c r="H159" i="2"/>
  <c r="E160" i="2"/>
  <c r="F160" i="2"/>
  <c r="G160" i="2"/>
  <c r="H160" i="2"/>
  <c r="E161" i="2"/>
  <c r="F161" i="2"/>
  <c r="G161" i="2"/>
  <c r="H161" i="2"/>
  <c r="E162" i="2"/>
  <c r="F162" i="2"/>
  <c r="G162" i="2"/>
  <c r="H162" i="2"/>
  <c r="E163" i="2"/>
  <c r="F163" i="2"/>
  <c r="G163" i="2"/>
  <c r="H163" i="2"/>
  <c r="E164" i="2"/>
  <c r="F164" i="2"/>
  <c r="G164" i="2"/>
  <c r="H164" i="2"/>
  <c r="E165" i="2"/>
  <c r="F165" i="2"/>
  <c r="G165" i="2"/>
  <c r="H165" i="2"/>
  <c r="E166" i="2"/>
  <c r="F166" i="2"/>
  <c r="G166" i="2"/>
  <c r="H166" i="2"/>
  <c r="E167" i="2"/>
  <c r="F167" i="2"/>
  <c r="G167" i="2"/>
  <c r="H167" i="2"/>
  <c r="E168" i="2"/>
  <c r="F168" i="2"/>
  <c r="G168" i="2"/>
  <c r="H168" i="2"/>
  <c r="E169" i="2"/>
  <c r="F169" i="2"/>
  <c r="G169" i="2"/>
  <c r="H169" i="2"/>
  <c r="E170" i="2"/>
  <c r="F170" i="2"/>
  <c r="G170" i="2"/>
  <c r="H170" i="2"/>
  <c r="E171" i="2"/>
  <c r="F171" i="2"/>
  <c r="G171" i="2"/>
  <c r="H171" i="2"/>
  <c r="E172" i="2"/>
  <c r="F172" i="2"/>
  <c r="G172" i="2"/>
  <c r="H172" i="2"/>
  <c r="E173" i="2"/>
  <c r="F173" i="2"/>
  <c r="G173" i="2"/>
  <c r="H173" i="2"/>
  <c r="E174" i="2"/>
  <c r="F174" i="2"/>
  <c r="G174" i="2"/>
  <c r="H174" i="2"/>
  <c r="E175" i="2"/>
  <c r="F175" i="2"/>
  <c r="G175" i="2"/>
  <c r="H175" i="2"/>
  <c r="E176" i="2"/>
  <c r="F176" i="2"/>
  <c r="G176" i="2"/>
  <c r="H176" i="2"/>
  <c r="E177" i="2"/>
  <c r="F177" i="2"/>
  <c r="G177" i="2"/>
  <c r="H177" i="2"/>
  <c r="E178" i="2"/>
  <c r="F178" i="2"/>
  <c r="G178" i="2"/>
  <c r="H178" i="2"/>
  <c r="E179" i="2"/>
  <c r="F179" i="2"/>
  <c r="G179" i="2"/>
  <c r="H179" i="2"/>
  <c r="E180" i="2"/>
  <c r="F180" i="2"/>
  <c r="G180" i="2"/>
  <c r="H180" i="2"/>
  <c r="E181" i="2"/>
  <c r="F181" i="2"/>
  <c r="G181" i="2"/>
  <c r="H181" i="2"/>
  <c r="E182" i="2"/>
  <c r="F182" i="2"/>
  <c r="G182" i="2"/>
  <c r="H182" i="2"/>
  <c r="E183" i="2"/>
  <c r="F183" i="2"/>
  <c r="G183" i="2"/>
  <c r="H183" i="2"/>
  <c r="E184" i="2"/>
  <c r="F184" i="2"/>
  <c r="G184" i="2"/>
  <c r="H184" i="2"/>
  <c r="E185" i="2"/>
  <c r="F185" i="2"/>
  <c r="G185" i="2"/>
  <c r="H185" i="2"/>
  <c r="E186" i="2"/>
  <c r="F186" i="2"/>
  <c r="G186" i="2"/>
  <c r="H186" i="2"/>
  <c r="E187" i="2"/>
  <c r="F187" i="2"/>
  <c r="G187" i="2"/>
  <c r="H187" i="2"/>
  <c r="E188" i="2"/>
  <c r="F188" i="2"/>
  <c r="G188" i="2"/>
  <c r="H188" i="2"/>
  <c r="E189" i="2"/>
  <c r="F189" i="2"/>
  <c r="G189" i="2"/>
  <c r="H189" i="2"/>
  <c r="E190" i="2"/>
  <c r="F190" i="2"/>
  <c r="G190" i="2"/>
  <c r="H190" i="2"/>
  <c r="E191" i="2"/>
  <c r="F191" i="2"/>
  <c r="G191" i="2"/>
  <c r="H191" i="2"/>
  <c r="E192" i="2"/>
  <c r="F192" i="2"/>
  <c r="G192" i="2"/>
  <c r="H192" i="2"/>
  <c r="E193" i="2"/>
  <c r="F193" i="2"/>
  <c r="G193" i="2"/>
  <c r="H193" i="2"/>
  <c r="E194" i="2"/>
  <c r="F194" i="2"/>
  <c r="G194" i="2"/>
  <c r="H194" i="2"/>
  <c r="E195" i="2"/>
  <c r="F195" i="2"/>
  <c r="G195" i="2"/>
  <c r="H195" i="2"/>
  <c r="E196" i="2"/>
  <c r="F196" i="2"/>
  <c r="G196" i="2"/>
  <c r="H196" i="2"/>
  <c r="E197" i="2"/>
  <c r="F197" i="2"/>
  <c r="G197" i="2"/>
  <c r="H197" i="2"/>
  <c r="E198" i="2"/>
  <c r="F198" i="2"/>
  <c r="G198" i="2"/>
  <c r="H198" i="2"/>
  <c r="E199" i="2"/>
  <c r="F199" i="2"/>
  <c r="G199" i="2"/>
  <c r="H199" i="2"/>
  <c r="E200" i="2"/>
  <c r="F200" i="2"/>
  <c r="G200" i="2"/>
  <c r="H200" i="2"/>
  <c r="E201" i="2"/>
  <c r="F201" i="2"/>
  <c r="G201" i="2"/>
  <c r="H201" i="2"/>
  <c r="E202" i="2"/>
  <c r="F202" i="2"/>
  <c r="G202" i="2"/>
  <c r="H202" i="2"/>
  <c r="E203" i="2"/>
  <c r="F203" i="2"/>
  <c r="G203" i="2"/>
  <c r="H203" i="2"/>
  <c r="E204" i="2"/>
  <c r="F204" i="2"/>
  <c r="G204" i="2"/>
  <c r="H204" i="2"/>
  <c r="E205" i="2"/>
  <c r="F205" i="2"/>
  <c r="G205" i="2"/>
  <c r="H205" i="2"/>
  <c r="E206" i="2"/>
  <c r="F206" i="2"/>
  <c r="G206" i="2"/>
  <c r="H206" i="2"/>
  <c r="E207" i="2"/>
  <c r="F207" i="2"/>
  <c r="G207" i="2"/>
  <c r="H207" i="2"/>
  <c r="E208" i="2"/>
  <c r="F208" i="2"/>
  <c r="G208" i="2"/>
  <c r="H208" i="2"/>
  <c r="E209" i="2"/>
  <c r="F209" i="2"/>
  <c r="G209" i="2"/>
  <c r="H209" i="2"/>
  <c r="E210" i="2"/>
  <c r="F210" i="2"/>
  <c r="G210" i="2"/>
  <c r="H210" i="2"/>
  <c r="E211" i="2"/>
  <c r="F211" i="2"/>
  <c r="G211" i="2"/>
  <c r="H211" i="2"/>
  <c r="E212" i="2"/>
  <c r="F212" i="2"/>
  <c r="G212" i="2"/>
  <c r="H212" i="2"/>
  <c r="E213" i="2"/>
  <c r="F213" i="2"/>
  <c r="G213" i="2"/>
  <c r="H213" i="2"/>
  <c r="E214" i="2"/>
  <c r="F214" i="2"/>
  <c r="G214" i="2"/>
  <c r="H214" i="2"/>
  <c r="E215" i="2"/>
  <c r="F215" i="2"/>
  <c r="G215" i="2"/>
  <c r="H215" i="2"/>
  <c r="E216" i="2"/>
  <c r="F216" i="2"/>
  <c r="G216" i="2"/>
  <c r="H216" i="2"/>
  <c r="E217" i="2"/>
  <c r="F217" i="2"/>
  <c r="G217" i="2"/>
  <c r="H217" i="2"/>
  <c r="E218" i="2"/>
  <c r="F218" i="2"/>
  <c r="G218" i="2"/>
  <c r="H218" i="2"/>
  <c r="E219" i="2"/>
  <c r="F219" i="2"/>
  <c r="G219" i="2"/>
  <c r="H219" i="2"/>
  <c r="E220" i="2"/>
  <c r="F220" i="2"/>
  <c r="G220" i="2"/>
  <c r="H220" i="2"/>
  <c r="E221" i="2"/>
  <c r="F221" i="2"/>
  <c r="G221" i="2"/>
  <c r="H221" i="2"/>
  <c r="E222" i="2"/>
  <c r="F222" i="2"/>
  <c r="G222" i="2"/>
  <c r="H222" i="2"/>
  <c r="E223" i="2"/>
  <c r="F223" i="2"/>
  <c r="G223" i="2"/>
  <c r="H223" i="2"/>
  <c r="E224" i="2"/>
  <c r="F224" i="2"/>
  <c r="G224" i="2"/>
  <c r="H224" i="2"/>
  <c r="E225" i="2"/>
  <c r="F225" i="2"/>
  <c r="G225" i="2"/>
  <c r="H225" i="2"/>
  <c r="E226" i="2"/>
  <c r="F226" i="2"/>
  <c r="G226" i="2"/>
  <c r="H226" i="2"/>
  <c r="E227" i="2"/>
  <c r="F227" i="2"/>
  <c r="G227" i="2"/>
  <c r="H227" i="2"/>
  <c r="E228" i="2"/>
  <c r="F228" i="2"/>
  <c r="G228" i="2"/>
  <c r="H228" i="2"/>
  <c r="E229" i="2"/>
  <c r="F229" i="2"/>
  <c r="G229" i="2"/>
  <c r="H229" i="2"/>
  <c r="E230" i="2"/>
  <c r="F230" i="2"/>
  <c r="G230" i="2"/>
  <c r="H230" i="2"/>
  <c r="E231" i="2"/>
  <c r="F231" i="2"/>
  <c r="G231" i="2"/>
  <c r="H231" i="2"/>
  <c r="E232" i="2"/>
  <c r="F232" i="2"/>
  <c r="G232" i="2"/>
  <c r="H232" i="2"/>
  <c r="E233" i="2"/>
  <c r="F233" i="2"/>
  <c r="G233" i="2"/>
  <c r="H233" i="2"/>
  <c r="E234" i="2"/>
  <c r="F234" i="2"/>
  <c r="G234" i="2"/>
  <c r="H234" i="2"/>
  <c r="E235" i="2"/>
  <c r="F235" i="2"/>
  <c r="G235" i="2"/>
  <c r="H235" i="2"/>
  <c r="E236" i="2"/>
  <c r="F236" i="2"/>
  <c r="G236" i="2"/>
  <c r="H236" i="2"/>
  <c r="E237" i="2"/>
  <c r="F237" i="2"/>
  <c r="G237" i="2"/>
  <c r="H237" i="2"/>
  <c r="E238" i="2"/>
  <c r="F238" i="2"/>
  <c r="G238" i="2"/>
  <c r="H238" i="2"/>
  <c r="E239" i="2"/>
  <c r="F239" i="2"/>
  <c r="G239" i="2"/>
  <c r="H239" i="2"/>
  <c r="E240" i="2"/>
  <c r="F240" i="2"/>
  <c r="G240" i="2"/>
  <c r="H240" i="2"/>
  <c r="E241" i="2"/>
  <c r="F241" i="2"/>
  <c r="G241" i="2"/>
  <c r="H241" i="2"/>
  <c r="E242" i="2"/>
  <c r="F242" i="2"/>
  <c r="G242" i="2"/>
  <c r="H242" i="2"/>
  <c r="E243" i="2"/>
  <c r="F243" i="2"/>
  <c r="G243" i="2"/>
  <c r="H243" i="2"/>
  <c r="E244" i="2"/>
  <c r="F244" i="2"/>
  <c r="G244" i="2"/>
  <c r="H244" i="2"/>
  <c r="E245" i="2"/>
  <c r="F245" i="2"/>
  <c r="G245" i="2"/>
  <c r="H245" i="2"/>
  <c r="E246" i="2"/>
  <c r="F246" i="2"/>
  <c r="G246" i="2"/>
  <c r="H246" i="2"/>
  <c r="E247" i="2"/>
  <c r="F247" i="2"/>
  <c r="G247" i="2"/>
  <c r="H247" i="2"/>
  <c r="E248" i="2"/>
  <c r="F248" i="2"/>
  <c r="G248" i="2"/>
  <c r="H248" i="2"/>
  <c r="E249" i="2"/>
  <c r="F249" i="2"/>
  <c r="G249" i="2"/>
  <c r="H249" i="2"/>
  <c r="E250" i="2"/>
  <c r="F250" i="2"/>
  <c r="G250" i="2"/>
  <c r="H250" i="2"/>
  <c r="E251" i="2"/>
  <c r="F251" i="2"/>
  <c r="G251" i="2"/>
  <c r="H251" i="2"/>
  <c r="E252" i="2"/>
  <c r="F252" i="2"/>
  <c r="G252" i="2"/>
  <c r="H252" i="2"/>
  <c r="E253" i="2"/>
  <c r="F253" i="2"/>
  <c r="G253" i="2"/>
  <c r="H253" i="2"/>
  <c r="E254" i="2"/>
  <c r="F254" i="2"/>
  <c r="G254" i="2"/>
  <c r="H254" i="2"/>
  <c r="E255" i="2"/>
  <c r="F255" i="2"/>
  <c r="G255" i="2"/>
  <c r="H255" i="2"/>
  <c r="E256" i="2"/>
  <c r="F256" i="2"/>
  <c r="G256" i="2"/>
  <c r="H256" i="2"/>
  <c r="E257" i="2"/>
  <c r="F257" i="2"/>
  <c r="G257" i="2"/>
  <c r="H257" i="2"/>
  <c r="E258" i="2"/>
  <c r="F258" i="2"/>
  <c r="G258" i="2"/>
  <c r="H258" i="2"/>
  <c r="E259" i="2"/>
  <c r="F259" i="2"/>
  <c r="G259" i="2"/>
  <c r="H259" i="2"/>
  <c r="E260" i="2"/>
  <c r="F260" i="2"/>
  <c r="G260" i="2"/>
  <c r="H260" i="2"/>
  <c r="E261" i="2"/>
  <c r="F261" i="2"/>
  <c r="G261" i="2"/>
  <c r="H261" i="2"/>
  <c r="E262" i="2"/>
  <c r="F262" i="2"/>
  <c r="G262" i="2"/>
  <c r="H262" i="2"/>
  <c r="E263" i="2"/>
  <c r="F263" i="2"/>
  <c r="G263" i="2"/>
  <c r="H263" i="2"/>
  <c r="E264" i="2"/>
  <c r="F264" i="2"/>
  <c r="G264" i="2"/>
  <c r="H264" i="2"/>
  <c r="E265" i="2"/>
  <c r="F265" i="2"/>
  <c r="G265" i="2"/>
  <c r="H265" i="2"/>
  <c r="E266" i="2"/>
  <c r="F266" i="2"/>
  <c r="G266" i="2"/>
  <c r="H266" i="2"/>
  <c r="E267" i="2"/>
  <c r="F267" i="2"/>
  <c r="G267" i="2"/>
  <c r="H267" i="2"/>
  <c r="E268" i="2"/>
  <c r="F268" i="2"/>
  <c r="G268" i="2"/>
  <c r="H268" i="2"/>
  <c r="E269" i="2"/>
  <c r="F269" i="2"/>
  <c r="G269" i="2"/>
  <c r="H269" i="2"/>
  <c r="E270" i="2"/>
  <c r="F270" i="2"/>
  <c r="G270" i="2"/>
  <c r="H270" i="2"/>
  <c r="E271" i="2"/>
  <c r="F271" i="2"/>
  <c r="G271" i="2"/>
  <c r="H271" i="2"/>
  <c r="E272" i="2"/>
  <c r="F272" i="2"/>
  <c r="G272" i="2"/>
  <c r="H272" i="2"/>
  <c r="E273" i="2"/>
  <c r="F273" i="2"/>
  <c r="G273" i="2"/>
  <c r="H273" i="2"/>
  <c r="E274" i="2"/>
  <c r="F274" i="2"/>
  <c r="G274" i="2"/>
  <c r="H274" i="2"/>
  <c r="E275" i="2"/>
  <c r="F275" i="2"/>
  <c r="G275" i="2"/>
  <c r="H275" i="2"/>
  <c r="E276" i="2"/>
  <c r="F276" i="2"/>
  <c r="G276" i="2"/>
  <c r="H276" i="2"/>
  <c r="E277" i="2"/>
  <c r="F277" i="2"/>
  <c r="G277" i="2"/>
  <c r="H277" i="2"/>
  <c r="E278" i="2"/>
  <c r="F278" i="2"/>
  <c r="G278" i="2"/>
  <c r="H278" i="2"/>
  <c r="E279" i="2"/>
  <c r="F279" i="2"/>
  <c r="G279" i="2"/>
  <c r="H279" i="2"/>
  <c r="E280" i="2"/>
  <c r="F280" i="2"/>
  <c r="G280" i="2"/>
  <c r="H280" i="2"/>
  <c r="E281" i="2"/>
  <c r="F281" i="2"/>
  <c r="G281" i="2"/>
  <c r="H281" i="2"/>
  <c r="E282" i="2"/>
  <c r="F282" i="2"/>
  <c r="G282" i="2"/>
  <c r="H282" i="2"/>
  <c r="E283" i="2"/>
  <c r="F283" i="2"/>
  <c r="G283" i="2"/>
  <c r="H283" i="2"/>
  <c r="E284" i="2"/>
  <c r="F284" i="2"/>
  <c r="G284" i="2"/>
  <c r="H284" i="2"/>
  <c r="E285" i="2"/>
  <c r="F285" i="2"/>
  <c r="G285" i="2"/>
  <c r="H285" i="2"/>
  <c r="E286" i="2"/>
  <c r="F286" i="2"/>
  <c r="G286" i="2"/>
  <c r="H286" i="2"/>
  <c r="E287" i="2"/>
  <c r="F287" i="2"/>
  <c r="G287" i="2"/>
  <c r="H287" i="2"/>
  <c r="E288" i="2"/>
  <c r="F288" i="2"/>
  <c r="G288" i="2"/>
  <c r="H288" i="2"/>
  <c r="E289" i="2"/>
  <c r="F289" i="2"/>
  <c r="G289" i="2"/>
  <c r="H289" i="2"/>
  <c r="E290" i="2"/>
  <c r="F290" i="2"/>
  <c r="G290" i="2"/>
  <c r="H290" i="2"/>
  <c r="E291" i="2"/>
  <c r="F291" i="2"/>
  <c r="G291" i="2"/>
  <c r="H291" i="2"/>
  <c r="H4" i="2"/>
  <c r="G4" i="2"/>
  <c r="F4" i="2"/>
  <c r="E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<sst xmlns="http://schemas.openxmlformats.org/spreadsheetml/2006/main" count="3608" uniqueCount="1317">
  <si>
    <t>OrderID</t>
  </si>
  <si>
    <t>CustomerID</t>
  </si>
  <si>
    <t>OrderDate</t>
  </si>
  <si>
    <t>ProductType</t>
  </si>
  <si>
    <t>OrderValue</t>
  </si>
  <si>
    <t>ORDER00001</t>
  </si>
  <si>
    <t>CUST0259</t>
  </si>
  <si>
    <t>Canvas Print</t>
  </si>
  <si>
    <t>ORDER00002</t>
  </si>
  <si>
    <t>CUST0161</t>
  </si>
  <si>
    <t>Poster</t>
  </si>
  <si>
    <t>ORDER00003</t>
  </si>
  <si>
    <t>CUST0178</t>
  </si>
  <si>
    <t>Business Card</t>
  </si>
  <si>
    <t>ORDER00004</t>
  </si>
  <si>
    <t>CUST0010</t>
  </si>
  <si>
    <t>Flyer</t>
  </si>
  <si>
    <t>ORDER00005</t>
  </si>
  <si>
    <t>CUST0261</t>
  </si>
  <si>
    <t>ORDER00006</t>
  </si>
  <si>
    <t>CUST0138</t>
  </si>
  <si>
    <t>ORDER00007</t>
  </si>
  <si>
    <t>CUST0172</t>
  </si>
  <si>
    <t>ORDER00008</t>
  </si>
  <si>
    <t>CUST0013</t>
  </si>
  <si>
    <t>ORDER00009</t>
  </si>
  <si>
    <t>CUST0168</t>
  </si>
  <si>
    <t>ORDER00010</t>
  </si>
  <si>
    <t>CUST0130</t>
  </si>
  <si>
    <t>Photo Book</t>
  </si>
  <si>
    <t>ORDER00011</t>
  </si>
  <si>
    <t>CUST0084</t>
  </si>
  <si>
    <t>ORDER00012</t>
  </si>
  <si>
    <t>CUST0101</t>
  </si>
  <si>
    <t>ORDER00013</t>
  </si>
  <si>
    <t>CUST0273</t>
  </si>
  <si>
    <t>ORDER00014</t>
  </si>
  <si>
    <t>CUST0265</t>
  </si>
  <si>
    <t>ORDER00015</t>
  </si>
  <si>
    <t>CUST0038</t>
  </si>
  <si>
    <t>ORDER00016</t>
  </si>
  <si>
    <t>CUST0094</t>
  </si>
  <si>
    <t>ORDER00017</t>
  </si>
  <si>
    <t>CUST0095</t>
  </si>
  <si>
    <t>ORDER00018</t>
  </si>
  <si>
    <t>CUST0069</t>
  </si>
  <si>
    <t>ORDER00019</t>
  </si>
  <si>
    <t>CUST0236</t>
  </si>
  <si>
    <t>ORDER00020</t>
  </si>
  <si>
    <t>CUST0137</t>
  </si>
  <si>
    <t>Greeting Card</t>
  </si>
  <si>
    <t>ORDER00021</t>
  </si>
  <si>
    <t>CUST0076</t>
  </si>
  <si>
    <t>ORDER00022</t>
  </si>
  <si>
    <t>CUST0035</t>
  </si>
  <si>
    <t>ORDER00023</t>
  </si>
  <si>
    <t>CUST0001</t>
  </si>
  <si>
    <t>ORDER00024</t>
  </si>
  <si>
    <t>CUST0296</t>
  </si>
  <si>
    <t>ORDER00025</t>
  </si>
  <si>
    <t>CUST0060</t>
  </si>
  <si>
    <t>ORDER00026</t>
  </si>
  <si>
    <t>CUST0267</t>
  </si>
  <si>
    <t>ORDER00027</t>
  </si>
  <si>
    <t>CUST0229</t>
  </si>
  <si>
    <t>ORDER00028</t>
  </si>
  <si>
    <t>CUST0270</t>
  </si>
  <si>
    <t>ORDER00029</t>
  </si>
  <si>
    <t>CUST0286</t>
  </si>
  <si>
    <t>ORDER00030</t>
  </si>
  <si>
    <t>CUST0291</t>
  </si>
  <si>
    <t>ORDER00031</t>
  </si>
  <si>
    <t>CUST0213</t>
  </si>
  <si>
    <t>ORDER00032</t>
  </si>
  <si>
    <t>CUST0165</t>
  </si>
  <si>
    <t>ORDER00033</t>
  </si>
  <si>
    <t>CUST0005</t>
  </si>
  <si>
    <t>ORDER00034</t>
  </si>
  <si>
    <t>CUST0078</t>
  </si>
  <si>
    <t>ORDER00035</t>
  </si>
  <si>
    <t>CUST0062</t>
  </si>
  <si>
    <t>ORDER00036</t>
  </si>
  <si>
    <t>CUST0132</t>
  </si>
  <si>
    <t>ORDER00037</t>
  </si>
  <si>
    <t>CUST0089</t>
  </si>
  <si>
    <t>ORDER00038</t>
  </si>
  <si>
    <t>CUST0237</t>
  </si>
  <si>
    <t>ORDER00039</t>
  </si>
  <si>
    <t>CUST0042</t>
  </si>
  <si>
    <t>ORDER00040</t>
  </si>
  <si>
    <t>ORDER00041</t>
  </si>
  <si>
    <t>ORDER00042</t>
  </si>
  <si>
    <t>CUST0295</t>
  </si>
  <si>
    <t>ORDER00043</t>
  </si>
  <si>
    <t>CUST0104</t>
  </si>
  <si>
    <t>ORDER00044</t>
  </si>
  <si>
    <t>CUST0014</t>
  </si>
  <si>
    <t>ORDER00045</t>
  </si>
  <si>
    <t>CUST0288</t>
  </si>
  <si>
    <t>ORDER00046</t>
  </si>
  <si>
    <t>CUST0179</t>
  </si>
  <si>
    <t>ORDER00047</t>
  </si>
  <si>
    <t>CUST0125</t>
  </si>
  <si>
    <t>ORDER00048</t>
  </si>
  <si>
    <t>CUST0023</t>
  </si>
  <si>
    <t>ORDER00049</t>
  </si>
  <si>
    <t>CUST0063</t>
  </si>
  <si>
    <t>ORDER00050</t>
  </si>
  <si>
    <t>CUST0143</t>
  </si>
  <si>
    <t>ORDER00051</t>
  </si>
  <si>
    <t>CUST0153</t>
  </si>
  <si>
    <t>ORDER00052</t>
  </si>
  <si>
    <t>CUST0145</t>
  </si>
  <si>
    <t>ORDER00053</t>
  </si>
  <si>
    <t>CUST0225</t>
  </si>
  <si>
    <t>ORDER00054</t>
  </si>
  <si>
    <t>ORDER00055</t>
  </si>
  <si>
    <t>ORDER00056</t>
  </si>
  <si>
    <t>CUST0039</t>
  </si>
  <si>
    <t>ORDER00057</t>
  </si>
  <si>
    <t>CUST0198</t>
  </si>
  <si>
    <t>ORDER00058</t>
  </si>
  <si>
    <t>CUST0134</t>
  </si>
  <si>
    <t>ORDER00059</t>
  </si>
  <si>
    <t>CUST0067</t>
  </si>
  <si>
    <t>ORDER00060</t>
  </si>
  <si>
    <t>ORDER00061</t>
  </si>
  <si>
    <t>ORDER00062</t>
  </si>
  <si>
    <t>CUST0015</t>
  </si>
  <si>
    <t>ORDER00063</t>
  </si>
  <si>
    <t>CUST0111</t>
  </si>
  <si>
    <t>ORDER00064</t>
  </si>
  <si>
    <t>CUST0157</t>
  </si>
  <si>
    <t>ORDER00065</t>
  </si>
  <si>
    <t>CUST0289</t>
  </si>
  <si>
    <t>ORDER00066</t>
  </si>
  <si>
    <t>CUST0231</t>
  </si>
  <si>
    <t>ORDER00067</t>
  </si>
  <si>
    <t>ORDER00068</t>
  </si>
  <si>
    <t>ORDER00069</t>
  </si>
  <si>
    <t>CUST0097</t>
  </si>
  <si>
    <t>ORDER00070</t>
  </si>
  <si>
    <t>ORDER00071</t>
  </si>
  <si>
    <t>CUST0254</t>
  </si>
  <si>
    <t>ORDER00072</t>
  </si>
  <si>
    <t>CUST0196</t>
  </si>
  <si>
    <t>ORDER00073</t>
  </si>
  <si>
    <t>CUST0086</t>
  </si>
  <si>
    <t>ORDER00074</t>
  </si>
  <si>
    <t>ORDER00075</t>
  </si>
  <si>
    <t>ORDER00076</t>
  </si>
  <si>
    <t>CUST0123</t>
  </si>
  <si>
    <t>ORDER00077</t>
  </si>
  <si>
    <t>CUST0118</t>
  </si>
  <si>
    <t>ORDER00078</t>
  </si>
  <si>
    <t>CUST0294</t>
  </si>
  <si>
    <t>ORDER00079</t>
  </si>
  <si>
    <t>CUST0159</t>
  </si>
  <si>
    <t>ORDER00080</t>
  </si>
  <si>
    <t>CUST0228</t>
  </si>
  <si>
    <t>ORDER00081</t>
  </si>
  <si>
    <t>CUST0216</t>
  </si>
  <si>
    <t>ORDER00082</t>
  </si>
  <si>
    <t>CUST0184</t>
  </si>
  <si>
    <t>ORDER00083</t>
  </si>
  <si>
    <t>ORDER00084</t>
  </si>
  <si>
    <t>ORDER00085</t>
  </si>
  <si>
    <t>CUST0136</t>
  </si>
  <si>
    <t>ORDER00086</t>
  </si>
  <si>
    <t>ORDER00087</t>
  </si>
  <si>
    <t>ORDER00088</t>
  </si>
  <si>
    <t>CUST0047</t>
  </si>
  <si>
    <t>ORDER00089</t>
  </si>
  <si>
    <t>CUST0173</t>
  </si>
  <si>
    <t>ORDER00090</t>
  </si>
  <si>
    <t>ORDER00091</t>
  </si>
  <si>
    <t>ORDER00092</t>
  </si>
  <si>
    <t>CUST0115</t>
  </si>
  <si>
    <t>ORDER00093</t>
  </si>
  <si>
    <t>CUST0243</t>
  </si>
  <si>
    <t>ORDER00094</t>
  </si>
  <si>
    <t>CUST0292</t>
  </si>
  <si>
    <t>ORDER00095</t>
  </si>
  <si>
    <t>CUST0282</t>
  </si>
  <si>
    <t>ORDER00096</t>
  </si>
  <si>
    <t>CUST0299</t>
  </si>
  <si>
    <t>ORDER00097</t>
  </si>
  <si>
    <t>CUST0283</t>
  </si>
  <si>
    <t>ORDER00098</t>
  </si>
  <si>
    <t>ORDER00099</t>
  </si>
  <si>
    <t>CUST0148</t>
  </si>
  <si>
    <t>ORDER00100</t>
  </si>
  <si>
    <t>CUST0011</t>
  </si>
  <si>
    <t>ORDER00101</t>
  </si>
  <si>
    <t>ORDER00102</t>
  </si>
  <si>
    <t>ORDER00103</t>
  </si>
  <si>
    <t>ORDER00104</t>
  </si>
  <si>
    <t>CUST0200</t>
  </si>
  <si>
    <t>ORDER00105</t>
  </si>
  <si>
    <t>ORDER00106</t>
  </si>
  <si>
    <t>CUST0218</t>
  </si>
  <si>
    <t>ORDER00107</t>
  </si>
  <si>
    <t>CUST0141</t>
  </si>
  <si>
    <t>ORDER00108</t>
  </si>
  <si>
    <t>ORDER00109</t>
  </si>
  <si>
    <t>CUST0210</t>
  </si>
  <si>
    <t>ORDER00110</t>
  </si>
  <si>
    <t>ORDER00111</t>
  </si>
  <si>
    <t>ORDER00112</t>
  </si>
  <si>
    <t>CUST0171</t>
  </si>
  <si>
    <t>ORDER00113</t>
  </si>
  <si>
    <t>CUST0133</t>
  </si>
  <si>
    <t>ORDER00114</t>
  </si>
  <si>
    <t>CUST0293</t>
  </si>
  <si>
    <t>ORDER00115</t>
  </si>
  <si>
    <t>CUST0127</t>
  </si>
  <si>
    <t>ORDER00116</t>
  </si>
  <si>
    <t>CUST0106</t>
  </si>
  <si>
    <t>ORDER00117</t>
  </si>
  <si>
    <t>CUST0092</t>
  </si>
  <si>
    <t>ORDER00118</t>
  </si>
  <si>
    <t>CUST0287</t>
  </si>
  <si>
    <t>ORDER00119</t>
  </si>
  <si>
    <t>CUST0051</t>
  </si>
  <si>
    <t>ORDER00120</t>
  </si>
  <si>
    <t>CUST0029</t>
  </si>
  <si>
    <t>ORDER00121</t>
  </si>
  <si>
    <t>ORDER00122</t>
  </si>
  <si>
    <t>CUST0297</t>
  </si>
  <si>
    <t>ORDER00123</t>
  </si>
  <si>
    <t>CUST0214</t>
  </si>
  <si>
    <t>ORDER00124</t>
  </si>
  <si>
    <t>ORDER00125</t>
  </si>
  <si>
    <t>CUST0257</t>
  </si>
  <si>
    <t>ORDER00126</t>
  </si>
  <si>
    <t>ORDER00127</t>
  </si>
  <si>
    <t>CUST0110</t>
  </si>
  <si>
    <t>ORDER00128</t>
  </si>
  <si>
    <t>CUST0182</t>
  </si>
  <si>
    <t>ORDER00129</t>
  </si>
  <si>
    <t>ORDER00130</t>
  </si>
  <si>
    <t>CUST0055</t>
  </si>
  <si>
    <t>ORDER00131</t>
  </si>
  <si>
    <t>CUST0149</t>
  </si>
  <si>
    <t>ORDER00132</t>
  </si>
  <si>
    <t>ORDER00133</t>
  </si>
  <si>
    <t>CUST0202</t>
  </si>
  <si>
    <t>ORDER00134</t>
  </si>
  <si>
    <t>CUST0117</t>
  </si>
  <si>
    <t>ORDER00135</t>
  </si>
  <si>
    <t>CUST0154</t>
  </si>
  <si>
    <t>ORDER00136</t>
  </si>
  <si>
    <t>ORDER00137</t>
  </si>
  <si>
    <t>ORDER00138</t>
  </si>
  <si>
    <t>CUST0244</t>
  </si>
  <si>
    <t>ORDER00139</t>
  </si>
  <si>
    <t>CUST0025</t>
  </si>
  <si>
    <t>ORDER00140</t>
  </si>
  <si>
    <t>CUST0090</t>
  </si>
  <si>
    <t>ORDER00141</t>
  </si>
  <si>
    <t>CUST0075</t>
  </si>
  <si>
    <t>ORDER00142</t>
  </si>
  <si>
    <t>ORDER00143</t>
  </si>
  <si>
    <t>ORDER00144</t>
  </si>
  <si>
    <t>CUST0017</t>
  </si>
  <si>
    <t>ORDER00145</t>
  </si>
  <si>
    <t>CUST0128</t>
  </si>
  <si>
    <t>ORDER00146</t>
  </si>
  <si>
    <t>CUST0251</t>
  </si>
  <si>
    <t>ORDER00147</t>
  </si>
  <si>
    <t>ORDER00148</t>
  </si>
  <si>
    <t>ORDER00149</t>
  </si>
  <si>
    <t>CUST0152</t>
  </si>
  <si>
    <t>ORDER00150</t>
  </si>
  <si>
    <t>ORDER00151</t>
  </si>
  <si>
    <t>CUST0180</t>
  </si>
  <si>
    <t>ORDER00152</t>
  </si>
  <si>
    <t>ORDER00153</t>
  </si>
  <si>
    <t>ORDER00154</t>
  </si>
  <si>
    <t>CUST0177</t>
  </si>
  <si>
    <t>ORDER00155</t>
  </si>
  <si>
    <t>CUST0285</t>
  </si>
  <si>
    <t>ORDER00156</t>
  </si>
  <si>
    <t>ORDER00157</t>
  </si>
  <si>
    <t>CUST0150</t>
  </si>
  <si>
    <t>ORDER00158</t>
  </si>
  <si>
    <t>ORDER00159</t>
  </si>
  <si>
    <t>CUST0156</t>
  </si>
  <si>
    <t>ORDER00160</t>
  </si>
  <si>
    <t>CUST0049</t>
  </si>
  <si>
    <t>ORDER00161</t>
  </si>
  <si>
    <t>ORDER00162</t>
  </si>
  <si>
    <t>ORDER00163</t>
  </si>
  <si>
    <t>ORDER00164</t>
  </si>
  <si>
    <t>ORDER00165</t>
  </si>
  <si>
    <t>ORDER00166</t>
  </si>
  <si>
    <t>CUST0189</t>
  </si>
  <si>
    <t>ORDER00167</t>
  </si>
  <si>
    <t>ORDER00168</t>
  </si>
  <si>
    <t>ORDER00169</t>
  </si>
  <si>
    <t>CUST0224</t>
  </si>
  <si>
    <t>ORDER00170</t>
  </si>
  <si>
    <t>ORDER00171</t>
  </si>
  <si>
    <t>CUST0215</t>
  </si>
  <si>
    <t>ORDER00172</t>
  </si>
  <si>
    <t>CUST0211</t>
  </si>
  <si>
    <t>ORDER00173</t>
  </si>
  <si>
    <t>CUST0032</t>
  </si>
  <si>
    <t>ORDER00174</t>
  </si>
  <si>
    <t>CUST0158</t>
  </si>
  <si>
    <t>ORDER00175</t>
  </si>
  <si>
    <t>ORDER00176</t>
  </si>
  <si>
    <t>ORDER00177</t>
  </si>
  <si>
    <t>CUST0144</t>
  </si>
  <si>
    <t>ORDER00178</t>
  </si>
  <si>
    <t>CUST0019</t>
  </si>
  <si>
    <t>ORDER00179</t>
  </si>
  <si>
    <t>CUST0018</t>
  </si>
  <si>
    <t>ORDER00180</t>
  </si>
  <si>
    <t>ORDER00181</t>
  </si>
  <si>
    <t>ORDER00182</t>
  </si>
  <si>
    <t>CUST0175</t>
  </si>
  <si>
    <t>ORDER00183</t>
  </si>
  <si>
    <t>CUST0194</t>
  </si>
  <si>
    <t>ORDER00184</t>
  </si>
  <si>
    <t>CUST0113</t>
  </si>
  <si>
    <t>ORDER00185</t>
  </si>
  <si>
    <t>CUST0114</t>
  </si>
  <si>
    <t>ORDER00186</t>
  </si>
  <si>
    <t>CUST0222</t>
  </si>
  <si>
    <t>ORDER00187</t>
  </si>
  <si>
    <t>CUST0166</t>
  </si>
  <si>
    <t>ORDER00188</t>
  </si>
  <si>
    <t>ORDER00189</t>
  </si>
  <si>
    <t>CUST0264</t>
  </si>
  <si>
    <t>ORDER00190</t>
  </si>
  <si>
    <t>ORDER00191</t>
  </si>
  <si>
    <t>CUST0131</t>
  </si>
  <si>
    <t>ORDER00192</t>
  </si>
  <si>
    <t>ORDER00193</t>
  </si>
  <si>
    <t>CUST0266</t>
  </si>
  <si>
    <t>ORDER00194</t>
  </si>
  <si>
    <t>CUST0162</t>
  </si>
  <si>
    <t>ORDER00195</t>
  </si>
  <si>
    <t>CUST0087</t>
  </si>
  <si>
    <t>ORDER00196</t>
  </si>
  <si>
    <t>ORDER00197</t>
  </si>
  <si>
    <t>ORDER00198</t>
  </si>
  <si>
    <t>ORDER00199</t>
  </si>
  <si>
    <t>CUST0008</t>
  </si>
  <si>
    <t>ORDER00200</t>
  </si>
  <si>
    <t>CUST0247</t>
  </si>
  <si>
    <t>ORDER00201</t>
  </si>
  <si>
    <t>CUST0255</t>
  </si>
  <si>
    <t>ORDER00202</t>
  </si>
  <si>
    <t>CUST0054</t>
  </si>
  <si>
    <t>ORDER00203</t>
  </si>
  <si>
    <t>CUST0249</t>
  </si>
  <si>
    <t>ORDER00204</t>
  </si>
  <si>
    <t>CUST0239</t>
  </si>
  <si>
    <t>ORDER00205</t>
  </si>
  <si>
    <t>ORDER00206</t>
  </si>
  <si>
    <t>ORDER00207</t>
  </si>
  <si>
    <t>ORDER00208</t>
  </si>
  <si>
    <t>ORDER00209</t>
  </si>
  <si>
    <t>ORDER00210</t>
  </si>
  <si>
    <t>ORDER00211</t>
  </si>
  <si>
    <t>ORDER00212</t>
  </si>
  <si>
    <t>CUST0096</t>
  </si>
  <si>
    <t>ORDER00213</t>
  </si>
  <si>
    <t>CUST0088</t>
  </si>
  <si>
    <t>ORDER00214</t>
  </si>
  <si>
    <t>ORDER00215</t>
  </si>
  <si>
    <t>ORDER00216</t>
  </si>
  <si>
    <t>CUST0120</t>
  </si>
  <si>
    <t>ORDER00217</t>
  </si>
  <si>
    <t>ORDER00218</t>
  </si>
  <si>
    <t>ORDER00219</t>
  </si>
  <si>
    <t>CUST0223</t>
  </si>
  <si>
    <t>ORDER00220</t>
  </si>
  <si>
    <t>CUST0007</t>
  </si>
  <si>
    <t>ORDER00221</t>
  </si>
  <si>
    <t>CUST0263</t>
  </si>
  <si>
    <t>ORDER00222</t>
  </si>
  <si>
    <t>ORDER00223</t>
  </si>
  <si>
    <t>CUST0151</t>
  </si>
  <si>
    <t>ORDER00224</t>
  </si>
  <si>
    <t>CUST0085</t>
  </si>
  <si>
    <t>ORDER00225</t>
  </si>
  <si>
    <t>CUST0147</t>
  </si>
  <si>
    <t>ORDER00226</t>
  </si>
  <si>
    <t>CUST0112</t>
  </si>
  <si>
    <t>ORDER00227</t>
  </si>
  <si>
    <t>CUST0036</t>
  </si>
  <si>
    <t>ORDER00228</t>
  </si>
  <si>
    <t>ORDER00229</t>
  </si>
  <si>
    <t>CUST0188</t>
  </si>
  <si>
    <t>ORDER00230</t>
  </si>
  <si>
    <t>CUST0082</t>
  </si>
  <si>
    <t>ORDER00231</t>
  </si>
  <si>
    <t>CUST0002</t>
  </si>
  <si>
    <t>ORDER00232</t>
  </si>
  <si>
    <t>CUST0197</t>
  </si>
  <si>
    <t>ORDER00233</t>
  </si>
  <si>
    <t>ORDER00234</t>
  </si>
  <si>
    <t>CUST0234</t>
  </si>
  <si>
    <t>ORDER00235</t>
  </si>
  <si>
    <t>CUST0195</t>
  </si>
  <si>
    <t>ORDER00236</t>
  </si>
  <si>
    <t>CUST0119</t>
  </si>
  <si>
    <t>ORDER00237</t>
  </si>
  <si>
    <t>CUST0020</t>
  </si>
  <si>
    <t>ORDER00238</t>
  </si>
  <si>
    <t>ORDER00239</t>
  </si>
  <si>
    <t>ORDER00240</t>
  </si>
  <si>
    <t>CUST0256</t>
  </si>
  <si>
    <t>ORDER00241</t>
  </si>
  <si>
    <t>ORDER00242</t>
  </si>
  <si>
    <t>CUST0226</t>
  </si>
  <si>
    <t>ORDER00243</t>
  </si>
  <si>
    <t>CUST0053</t>
  </si>
  <si>
    <t>ORDER00244</t>
  </si>
  <si>
    <t>CUST0280</t>
  </si>
  <si>
    <t>ORDER00245</t>
  </si>
  <si>
    <t>CUST0081</t>
  </si>
  <si>
    <t>ORDER00246</t>
  </si>
  <si>
    <t>ORDER00247</t>
  </si>
  <si>
    <t>ORDER00248</t>
  </si>
  <si>
    <t>ORDER00249</t>
  </si>
  <si>
    <t>CUST0059</t>
  </si>
  <si>
    <t>ORDER00250</t>
  </si>
  <si>
    <t>ORDER00251</t>
  </si>
  <si>
    <t>ORDER00252</t>
  </si>
  <si>
    <t>ORDER00253</t>
  </si>
  <si>
    <t>CUST0209</t>
  </si>
  <si>
    <t>ORDER00254</t>
  </si>
  <si>
    <t>ORDER00255</t>
  </si>
  <si>
    <t>ORDER00256</t>
  </si>
  <si>
    <t>ORDER00257</t>
  </si>
  <si>
    <t>CUST0009</t>
  </si>
  <si>
    <t>ORDER00258</t>
  </si>
  <si>
    <t>CUST0040</t>
  </si>
  <si>
    <t>ORDER00259</t>
  </si>
  <si>
    <t>ORDER00260</t>
  </si>
  <si>
    <t>CUST0281</t>
  </si>
  <si>
    <t>ORDER00261</t>
  </si>
  <si>
    <t>CUST0201</t>
  </si>
  <si>
    <t>ORDER00262</t>
  </si>
  <si>
    <t>CUST0246</t>
  </si>
  <si>
    <t>ORDER00263</t>
  </si>
  <si>
    <t>CUST0278</t>
  </si>
  <si>
    <t>ORDER00264</t>
  </si>
  <si>
    <t>CUST0235</t>
  </si>
  <si>
    <t>ORDER00265</t>
  </si>
  <si>
    <t>CUST0004</t>
  </si>
  <si>
    <t>ORDER00266</t>
  </si>
  <si>
    <t>ORDER00267</t>
  </si>
  <si>
    <t>ORDER00268</t>
  </si>
  <si>
    <t>CUST0109</t>
  </si>
  <si>
    <t>ORDER00269</t>
  </si>
  <si>
    <t>CUST0098</t>
  </si>
  <si>
    <t>ORDER00270</t>
  </si>
  <si>
    <t>ORDER00271</t>
  </si>
  <si>
    <t>ORDER00272</t>
  </si>
  <si>
    <t>ORDER00273</t>
  </si>
  <si>
    <t>CUST0146</t>
  </si>
  <si>
    <t>ORDER00274</t>
  </si>
  <si>
    <t>ORDER00275</t>
  </si>
  <si>
    <t>ORDER00276</t>
  </si>
  <si>
    <t>CUST0041</t>
  </si>
  <si>
    <t>ORDER00277</t>
  </si>
  <si>
    <t>CUST0034</t>
  </si>
  <si>
    <t>ORDER00278</t>
  </si>
  <si>
    <t>ORDER00279</t>
  </si>
  <si>
    <t>ORDER00280</t>
  </si>
  <si>
    <t>ORDER00281</t>
  </si>
  <si>
    <t>ORDER00282</t>
  </si>
  <si>
    <t>ORDER00283</t>
  </si>
  <si>
    <t>ORDER00284</t>
  </si>
  <si>
    <t>CUST0027</t>
  </si>
  <si>
    <t>ORDER00285</t>
  </si>
  <si>
    <t>ORDER00286</t>
  </si>
  <si>
    <t>ORDER00287</t>
  </si>
  <si>
    <t>CUST0219</t>
  </si>
  <si>
    <t>ORDER00288</t>
  </si>
  <si>
    <t>ORDER00289</t>
  </si>
  <si>
    <t>ORDER00290</t>
  </si>
  <si>
    <t>CUST0268</t>
  </si>
  <si>
    <t>ORDER00291</t>
  </si>
  <si>
    <t>ORDER00292</t>
  </si>
  <si>
    <t>ORDER00293</t>
  </si>
  <si>
    <t>CUST0190</t>
  </si>
  <si>
    <t>ORDER00294</t>
  </si>
  <si>
    <t>CUST0122</t>
  </si>
  <si>
    <t>ORDER00295</t>
  </si>
  <si>
    <t>CUST0046</t>
  </si>
  <si>
    <t>ORDER00296</t>
  </si>
  <si>
    <t>CUST0064</t>
  </si>
  <si>
    <t>ORDER00297</t>
  </si>
  <si>
    <t>ORDER00298</t>
  </si>
  <si>
    <t>CUST0193</t>
  </si>
  <si>
    <t>ORDER00299</t>
  </si>
  <si>
    <t>CUST0181</t>
  </si>
  <si>
    <t>ORDER00300</t>
  </si>
  <si>
    <t>ORDER00301</t>
  </si>
  <si>
    <t>ORDER00302</t>
  </si>
  <si>
    <t>ORDER00303</t>
  </si>
  <si>
    <t>ORDER00304</t>
  </si>
  <si>
    <t>ORDER00305</t>
  </si>
  <si>
    <t>ORDER00306</t>
  </si>
  <si>
    <t>ORDER00307</t>
  </si>
  <si>
    <t>CUST0164</t>
  </si>
  <si>
    <t>ORDER00308</t>
  </si>
  <si>
    <t>ORDER00309</t>
  </si>
  <si>
    <t>CUST0187</t>
  </si>
  <si>
    <t>ORDER00310</t>
  </si>
  <si>
    <t>ORDER00311</t>
  </si>
  <si>
    <t>CUST0232</t>
  </si>
  <si>
    <t>ORDER00312</t>
  </si>
  <si>
    <t>CUST0227</t>
  </si>
  <si>
    <t>ORDER00313</t>
  </si>
  <si>
    <t>ORDER00314</t>
  </si>
  <si>
    <t>ORDER00315</t>
  </si>
  <si>
    <t>ORDER00316</t>
  </si>
  <si>
    <t>ORDER00317</t>
  </si>
  <si>
    <t>ORDER00318</t>
  </si>
  <si>
    <t>ORDER00319</t>
  </si>
  <si>
    <t>ORDER00320</t>
  </si>
  <si>
    <t>CUST0250</t>
  </si>
  <si>
    <t>ORDER00321</t>
  </si>
  <si>
    <t>ORDER00322</t>
  </si>
  <si>
    <t>ORDER00323</t>
  </si>
  <si>
    <t>ORDER00324</t>
  </si>
  <si>
    <t>ORDER00325</t>
  </si>
  <si>
    <t>ORDER00326</t>
  </si>
  <si>
    <t>ORDER00327</t>
  </si>
  <si>
    <t>ORDER00328</t>
  </si>
  <si>
    <t>CUST0073</t>
  </si>
  <si>
    <t>ORDER00329</t>
  </si>
  <si>
    <t>ORDER00330</t>
  </si>
  <si>
    <t>ORDER00331</t>
  </si>
  <si>
    <t>ORDER00332</t>
  </si>
  <si>
    <t>CUST0129</t>
  </si>
  <si>
    <t>ORDER00333</t>
  </si>
  <si>
    <t>CUST0217</t>
  </si>
  <si>
    <t>ORDER00334</t>
  </si>
  <si>
    <t>CUST0061</t>
  </si>
  <si>
    <t>ORDER00335</t>
  </si>
  <si>
    <t>ORDER00336</t>
  </si>
  <si>
    <t>ORDER00337</t>
  </si>
  <si>
    <t>ORDER00338</t>
  </si>
  <si>
    <t>ORDER00339</t>
  </si>
  <si>
    <t>ORDER00340</t>
  </si>
  <si>
    <t>ORDER00341</t>
  </si>
  <si>
    <t>ORDER00342</t>
  </si>
  <si>
    <t>CUST0108</t>
  </si>
  <si>
    <t>ORDER00343</t>
  </si>
  <si>
    <t>ORDER00344</t>
  </si>
  <si>
    <t>CUST0102</t>
  </si>
  <si>
    <t>ORDER00345</t>
  </si>
  <si>
    <t>CUST0012</t>
  </si>
  <si>
    <t>ORDER00346</t>
  </si>
  <si>
    <t>CUST0275</t>
  </si>
  <si>
    <t>ORDER00347</t>
  </si>
  <si>
    <t>ORDER00348</t>
  </si>
  <si>
    <t>CUST0044</t>
  </si>
  <si>
    <t>ORDER00349</t>
  </si>
  <si>
    <t>ORDER00350</t>
  </si>
  <si>
    <t>CUST0057</t>
  </si>
  <si>
    <t>ORDER00351</t>
  </si>
  <si>
    <t>ORDER00352</t>
  </si>
  <si>
    <t>CUST0080</t>
  </si>
  <si>
    <t>ORDER00353</t>
  </si>
  <si>
    <t>ORDER00354</t>
  </si>
  <si>
    <t>ORDER00355</t>
  </si>
  <si>
    <t>ORDER00356</t>
  </si>
  <si>
    <t>ORDER00357</t>
  </si>
  <si>
    <t>ORDER00358</t>
  </si>
  <si>
    <t>ORDER00359</t>
  </si>
  <si>
    <t>ORDER00360</t>
  </si>
  <si>
    <t>ORDER00361</t>
  </si>
  <si>
    <t>ORDER00362</t>
  </si>
  <si>
    <t>ORDER00363</t>
  </si>
  <si>
    <t>ORDER00364</t>
  </si>
  <si>
    <t>ORDER00365</t>
  </si>
  <si>
    <t>CUST0026</t>
  </si>
  <si>
    <t>ORDER00366</t>
  </si>
  <si>
    <t>ORDER00367</t>
  </si>
  <si>
    <t>ORDER00368</t>
  </si>
  <si>
    <t>ORDER00369</t>
  </si>
  <si>
    <t>CUST0016</t>
  </si>
  <si>
    <t>ORDER00370</t>
  </si>
  <si>
    <t>CUST0199</t>
  </si>
  <si>
    <t>ORDER00371</t>
  </si>
  <si>
    <t>ORDER00372</t>
  </si>
  <si>
    <t>ORDER00373</t>
  </si>
  <si>
    <t>ORDER00374</t>
  </si>
  <si>
    <t>ORDER00375</t>
  </si>
  <si>
    <t>ORDER00376</t>
  </si>
  <si>
    <t>ORDER00377</t>
  </si>
  <si>
    <t>ORDER00378</t>
  </si>
  <si>
    <t>CUST0176</t>
  </si>
  <si>
    <t>ORDER00379</t>
  </si>
  <si>
    <t>ORDER00380</t>
  </si>
  <si>
    <t>ORDER00381</t>
  </si>
  <si>
    <t>ORDER00382</t>
  </si>
  <si>
    <t>CUST0103</t>
  </si>
  <si>
    <t>ORDER00383</t>
  </si>
  <si>
    <t>ORDER00384</t>
  </si>
  <si>
    <t>ORDER00385</t>
  </si>
  <si>
    <t>ORDER00386</t>
  </si>
  <si>
    <t>ORDER00387</t>
  </si>
  <si>
    <t>ORDER00388</t>
  </si>
  <si>
    <t>ORDER00389</t>
  </si>
  <si>
    <t>ORDER00390</t>
  </si>
  <si>
    <t>ORDER00391</t>
  </si>
  <si>
    <t>ORDER00392</t>
  </si>
  <si>
    <t>ORDER00393</t>
  </si>
  <si>
    <t>CUST0183</t>
  </si>
  <si>
    <t>ORDER00394</t>
  </si>
  <si>
    <t>ORDER00395</t>
  </si>
  <si>
    <t>ORDER00396</t>
  </si>
  <si>
    <t>ORDER00397</t>
  </si>
  <si>
    <t>ORDER00398</t>
  </si>
  <si>
    <t>ORDER00399</t>
  </si>
  <si>
    <t>ORDER00400</t>
  </si>
  <si>
    <t>ORDER00401</t>
  </si>
  <si>
    <t>ORDER00402</t>
  </si>
  <si>
    <t>CUST0170</t>
  </si>
  <si>
    <t>ORDER00403</t>
  </si>
  <si>
    <t>ORDER00404</t>
  </si>
  <si>
    <t>ORDER00405</t>
  </si>
  <si>
    <t>ORDER00406</t>
  </si>
  <si>
    <t>CUST0269</t>
  </si>
  <si>
    <t>ORDER00407</t>
  </si>
  <si>
    <t>ORDER00408</t>
  </si>
  <si>
    <t>CUST0274</t>
  </si>
  <si>
    <t>ORDER00409</t>
  </si>
  <si>
    <t>ORDER00410</t>
  </si>
  <si>
    <t>ORDER00411</t>
  </si>
  <si>
    <t>ORDER00412</t>
  </si>
  <si>
    <t>ORDER00413</t>
  </si>
  <si>
    <t>CUST0245</t>
  </si>
  <si>
    <t>ORDER00414</t>
  </si>
  <si>
    <t>ORDER00415</t>
  </si>
  <si>
    <t>CUST0185</t>
  </si>
  <si>
    <t>ORDER00416</t>
  </si>
  <si>
    <t>CUST0272</t>
  </si>
  <si>
    <t>ORDER00417</t>
  </si>
  <si>
    <t>ORDER00418</t>
  </si>
  <si>
    <t>ORDER00419</t>
  </si>
  <si>
    <t>ORDER00420</t>
  </si>
  <si>
    <t>CUST0065</t>
  </si>
  <si>
    <t>ORDER00421</t>
  </si>
  <si>
    <t>ORDER00422</t>
  </si>
  <si>
    <t>CUST0003</t>
  </si>
  <si>
    <t>ORDER00423</t>
  </si>
  <si>
    <t>CUST0142</t>
  </si>
  <si>
    <t>ORDER00424</t>
  </si>
  <si>
    <t>ORDER00425</t>
  </si>
  <si>
    <t>ORDER00426</t>
  </si>
  <si>
    <t>ORDER00427</t>
  </si>
  <si>
    <t>ORDER00428</t>
  </si>
  <si>
    <t>ORDER00429</t>
  </si>
  <si>
    <t>ORDER00430</t>
  </si>
  <si>
    <t>CUST0140</t>
  </si>
  <si>
    <t>ORDER00431</t>
  </si>
  <si>
    <t>ORDER00432</t>
  </si>
  <si>
    <t>ORDER00433</t>
  </si>
  <si>
    <t>ORDER00434</t>
  </si>
  <si>
    <t>ORDER00435</t>
  </si>
  <si>
    <t>ORDER00436</t>
  </si>
  <si>
    <t>ORDER00437</t>
  </si>
  <si>
    <t>ORDER00438</t>
  </si>
  <si>
    <t>ORDER00439</t>
  </si>
  <si>
    <t>ORDER00440</t>
  </si>
  <si>
    <t>ORDER00441</t>
  </si>
  <si>
    <t>CUST0052</t>
  </si>
  <si>
    <t>ORDER00442</t>
  </si>
  <si>
    <t>CUST0260</t>
  </si>
  <si>
    <t>ORDER00443</t>
  </si>
  <si>
    <t>ORDER00444</t>
  </si>
  <si>
    <t>CUST0072</t>
  </si>
  <si>
    <t>ORDER00445</t>
  </si>
  <si>
    <t>ORDER00446</t>
  </si>
  <si>
    <t>ORDER00447</t>
  </si>
  <si>
    <t>ORDER00448</t>
  </si>
  <si>
    <t>CUST0107</t>
  </si>
  <si>
    <t>ORDER00449</t>
  </si>
  <si>
    <t>ORDER00450</t>
  </si>
  <si>
    <t>ORDER00451</t>
  </si>
  <si>
    <t>CUST0241</t>
  </si>
  <si>
    <t>ORDER00452</t>
  </si>
  <si>
    <t>ORDER00453</t>
  </si>
  <si>
    <t>CUST0262</t>
  </si>
  <si>
    <t>ORDER00454</t>
  </si>
  <si>
    <t>ORDER00455</t>
  </si>
  <si>
    <t>ORDER00456</t>
  </si>
  <si>
    <t>ORDER00457</t>
  </si>
  <si>
    <t>ORDER00458</t>
  </si>
  <si>
    <t>ORDER00459</t>
  </si>
  <si>
    <t>ORDER00460</t>
  </si>
  <si>
    <t>ORDER00461</t>
  </si>
  <si>
    <t>CUST0099</t>
  </si>
  <si>
    <t>ORDER00462</t>
  </si>
  <si>
    <t>ORDER00463</t>
  </si>
  <si>
    <t>ORDER00464</t>
  </si>
  <si>
    <t>ORDER00465</t>
  </si>
  <si>
    <t>ORDER00466</t>
  </si>
  <si>
    <t>ORDER00467</t>
  </si>
  <si>
    <t>ORDER00468</t>
  </si>
  <si>
    <t>ORDER00469</t>
  </si>
  <si>
    <t>ORDER00470</t>
  </si>
  <si>
    <t>CUST0160</t>
  </si>
  <si>
    <t>ORDER00471</t>
  </si>
  <si>
    <t>ORDER00472</t>
  </si>
  <si>
    <t>ORDER00473</t>
  </si>
  <si>
    <t>ORDER00474</t>
  </si>
  <si>
    <t>ORDER00475</t>
  </si>
  <si>
    <t>CUST0068</t>
  </si>
  <si>
    <t>ORDER00476</t>
  </si>
  <si>
    <t>ORDER00477</t>
  </si>
  <si>
    <t>ORDER00478</t>
  </si>
  <si>
    <t>CUST0105</t>
  </si>
  <si>
    <t>ORDER00479</t>
  </si>
  <si>
    <t>ORDER00480</t>
  </si>
  <si>
    <t>ORDER00481</t>
  </si>
  <si>
    <t>ORDER00482</t>
  </si>
  <si>
    <t>ORDER00483</t>
  </si>
  <si>
    <t>ORDER00484</t>
  </si>
  <si>
    <t>ORDER00485</t>
  </si>
  <si>
    <t>ORDER00486</t>
  </si>
  <si>
    <t>ORDER00487</t>
  </si>
  <si>
    <t>ORDER00488</t>
  </si>
  <si>
    <t>ORDER00489</t>
  </si>
  <si>
    <t>ORDER00490</t>
  </si>
  <si>
    <t>CUST0124</t>
  </si>
  <si>
    <t>ORDER00491</t>
  </si>
  <si>
    <t>ORDER00492</t>
  </si>
  <si>
    <t>ORDER00493</t>
  </si>
  <si>
    <t>ORDER00494</t>
  </si>
  <si>
    <t>ORDER00495</t>
  </si>
  <si>
    <t>CUST0037</t>
  </si>
  <si>
    <t>ORDER00496</t>
  </si>
  <si>
    <t>ORDER00497</t>
  </si>
  <si>
    <t>CUST0284</t>
  </si>
  <si>
    <t>ORDER00498</t>
  </si>
  <si>
    <t>ORDER00499</t>
  </si>
  <si>
    <t>ORDER00500</t>
  </si>
  <si>
    <t>ORDER00501</t>
  </si>
  <si>
    <t>ORDER00502</t>
  </si>
  <si>
    <t>ORDER00503</t>
  </si>
  <si>
    <t>CUST0186</t>
  </si>
  <si>
    <t>ORDER00504</t>
  </si>
  <si>
    <t>CUST0056</t>
  </si>
  <si>
    <t>ORDER00505</t>
  </si>
  <si>
    <t>ORDER00506</t>
  </si>
  <si>
    <t>ORDER00507</t>
  </si>
  <si>
    <t>ORDER00508</t>
  </si>
  <si>
    <t>ORDER00509</t>
  </si>
  <si>
    <t>ORDER00510</t>
  </si>
  <si>
    <t>ORDER00511</t>
  </si>
  <si>
    <t>ORDER00512</t>
  </si>
  <si>
    <t>ORDER00513</t>
  </si>
  <si>
    <t>ORDER00514</t>
  </si>
  <si>
    <t>ORDER00515</t>
  </si>
  <si>
    <t>ORDER00516</t>
  </si>
  <si>
    <t>CUST0169</t>
  </si>
  <si>
    <t>ORDER00517</t>
  </si>
  <si>
    <t>ORDER00518</t>
  </si>
  <si>
    <t>CUST0045</t>
  </si>
  <si>
    <t>ORDER00519</t>
  </si>
  <si>
    <t>ORDER00520</t>
  </si>
  <si>
    <t>ORDER00521</t>
  </si>
  <si>
    <t>CUST0191</t>
  </si>
  <si>
    <t>ORDER00522</t>
  </si>
  <si>
    <t>CUST0155</t>
  </si>
  <si>
    <t>ORDER00523</t>
  </si>
  <si>
    <t>ORDER00524</t>
  </si>
  <si>
    <t>ORDER00525</t>
  </si>
  <si>
    <t>ORDER00526</t>
  </si>
  <si>
    <t>ORDER00527</t>
  </si>
  <si>
    <t>ORDER00528</t>
  </si>
  <si>
    <t>ORDER00529</t>
  </si>
  <si>
    <t>CUST0031</t>
  </si>
  <si>
    <t>ORDER00530</t>
  </si>
  <si>
    <t>ORDER00531</t>
  </si>
  <si>
    <t>ORDER00532</t>
  </si>
  <si>
    <t>ORDER00533</t>
  </si>
  <si>
    <t>ORDER00534</t>
  </si>
  <si>
    <t>ORDER00535</t>
  </si>
  <si>
    <t>CUST0258</t>
  </si>
  <si>
    <t>ORDER00536</t>
  </si>
  <si>
    <t>CUST0206</t>
  </si>
  <si>
    <t>ORDER00537</t>
  </si>
  <si>
    <t>CUST0077</t>
  </si>
  <si>
    <t>ORDER00538</t>
  </si>
  <si>
    <t>ORDER00539</t>
  </si>
  <si>
    <t>ORDER00540</t>
  </si>
  <si>
    <t>ORDER00541</t>
  </si>
  <si>
    <t>ORDER00542</t>
  </si>
  <si>
    <t>ORDER00543</t>
  </si>
  <si>
    <t>ORDER00544</t>
  </si>
  <si>
    <t>ORDER00545</t>
  </si>
  <si>
    <t>CUST0233</t>
  </si>
  <si>
    <t>ORDER00546</t>
  </si>
  <si>
    <t>ORDER00547</t>
  </si>
  <si>
    <t>ORDER00548</t>
  </si>
  <si>
    <t>ORDER00549</t>
  </si>
  <si>
    <t>CUST0163</t>
  </si>
  <si>
    <t>ORDER00550</t>
  </si>
  <si>
    <t>CUST0074</t>
  </si>
  <si>
    <t>ORDER00551</t>
  </si>
  <si>
    <t>ORDER00552</t>
  </si>
  <si>
    <t>ORDER00553</t>
  </si>
  <si>
    <t>ORDER00554</t>
  </si>
  <si>
    <t>ORDER00555</t>
  </si>
  <si>
    <t>ORDER00556</t>
  </si>
  <si>
    <t>ORDER00557</t>
  </si>
  <si>
    <t>ORDER00558</t>
  </si>
  <si>
    <t>CUST0242</t>
  </si>
  <si>
    <t>ORDER00559</t>
  </si>
  <si>
    <t>ORDER00560</t>
  </si>
  <si>
    <t>CUST0192</t>
  </si>
  <si>
    <t>ORDER00561</t>
  </si>
  <si>
    <t>ORDER00562</t>
  </si>
  <si>
    <t>ORDER00563</t>
  </si>
  <si>
    <t>ORDER00564</t>
  </si>
  <si>
    <t>CUST0022</t>
  </si>
  <si>
    <t>ORDER00565</t>
  </si>
  <si>
    <t>ORDER00566</t>
  </si>
  <si>
    <t>ORDER00567</t>
  </si>
  <si>
    <t>ORDER00568</t>
  </si>
  <si>
    <t>ORDER00569</t>
  </si>
  <si>
    <t>ORDER00570</t>
  </si>
  <si>
    <t>ORDER00571</t>
  </si>
  <si>
    <t>CUST0204</t>
  </si>
  <si>
    <t>ORDER00572</t>
  </si>
  <si>
    <t>ORDER00573</t>
  </si>
  <si>
    <t>ORDER00574</t>
  </si>
  <si>
    <t>ORDER00575</t>
  </si>
  <si>
    <t>ORDER00576</t>
  </si>
  <si>
    <t>ORDER00577</t>
  </si>
  <si>
    <t>CUST0033</t>
  </si>
  <si>
    <t>ORDER00578</t>
  </si>
  <si>
    <t>ORDER00579</t>
  </si>
  <si>
    <t>CUST0079</t>
  </si>
  <si>
    <t>ORDER00580</t>
  </si>
  <si>
    <t>CUST0058</t>
  </si>
  <si>
    <t>ORDER00581</t>
  </si>
  <si>
    <t>ORDER00582</t>
  </si>
  <si>
    <t>ORDER00583</t>
  </si>
  <si>
    <t>ORDER00584</t>
  </si>
  <si>
    <t>ORDER00585</t>
  </si>
  <si>
    <t>ORDER00586</t>
  </si>
  <si>
    <t>ORDER00587</t>
  </si>
  <si>
    <t>CUST0271</t>
  </si>
  <si>
    <t>ORDER00588</t>
  </si>
  <si>
    <t>ORDER00589</t>
  </si>
  <si>
    <t>ORDER00590</t>
  </si>
  <si>
    <t>ORDER00591</t>
  </si>
  <si>
    <t>ORDER00592</t>
  </si>
  <si>
    <t>ORDER00593</t>
  </si>
  <si>
    <t>ORDER00594</t>
  </si>
  <si>
    <t>ORDER00595</t>
  </si>
  <si>
    <t>ORDER00596</t>
  </si>
  <si>
    <t>ORDER00597</t>
  </si>
  <si>
    <t>ORDER00598</t>
  </si>
  <si>
    <t>ORDER00599</t>
  </si>
  <si>
    <t>ORDER00600</t>
  </si>
  <si>
    <t>CUST0021</t>
  </si>
  <si>
    <t>ORDER00601</t>
  </si>
  <si>
    <t>ORDER00602</t>
  </si>
  <si>
    <t>ORDER00603</t>
  </si>
  <si>
    <t>ORDER00604</t>
  </si>
  <si>
    <t>ORDER00605</t>
  </si>
  <si>
    <t>ORDER00606</t>
  </si>
  <si>
    <t>ORDER00607</t>
  </si>
  <si>
    <t>ORDER00608</t>
  </si>
  <si>
    <t>ORDER00609</t>
  </si>
  <si>
    <t>ORDER00610</t>
  </si>
  <si>
    <t>ORDER00611</t>
  </si>
  <si>
    <t>ORDER00612</t>
  </si>
  <si>
    <t>ORDER00613</t>
  </si>
  <si>
    <t>ORDER00614</t>
  </si>
  <si>
    <t>CUST0208</t>
  </si>
  <si>
    <t>ORDER00615</t>
  </si>
  <si>
    <t>ORDER00616</t>
  </si>
  <si>
    <t>ORDER00617</t>
  </si>
  <si>
    <t>ORDER00618</t>
  </si>
  <si>
    <t>ORDER00619</t>
  </si>
  <si>
    <t>CUST0093</t>
  </si>
  <si>
    <t>ORDER00620</t>
  </si>
  <si>
    <t>ORDER00621</t>
  </si>
  <si>
    <t>ORDER00622</t>
  </si>
  <si>
    <t>ORDER00623</t>
  </si>
  <si>
    <t>CUST0174</t>
  </si>
  <si>
    <t>ORDER00624</t>
  </si>
  <si>
    <t>CUST0050</t>
  </si>
  <si>
    <t>ORDER00625</t>
  </si>
  <si>
    <t>ORDER00626</t>
  </si>
  <si>
    <t>ORDER00627</t>
  </si>
  <si>
    <t>CUST0024</t>
  </si>
  <si>
    <t>ORDER00628</t>
  </si>
  <si>
    <t>ORDER00629</t>
  </si>
  <si>
    <t>ORDER00630</t>
  </si>
  <si>
    <t>ORDER00631</t>
  </si>
  <si>
    <t>ORDER00632</t>
  </si>
  <si>
    <t>ORDER00633</t>
  </si>
  <si>
    <t>ORDER00634</t>
  </si>
  <si>
    <t>ORDER00635</t>
  </si>
  <si>
    <t>ORDER00636</t>
  </si>
  <si>
    <t>ORDER00637</t>
  </si>
  <si>
    <t>ORDER00638</t>
  </si>
  <si>
    <t>ORDER00639</t>
  </si>
  <si>
    <t>ORDER00640</t>
  </si>
  <si>
    <t>ORDER00641</t>
  </si>
  <si>
    <t>ORDER00642</t>
  </si>
  <si>
    <t>CUST0205</t>
  </si>
  <si>
    <t>ORDER00643</t>
  </si>
  <si>
    <t>ORDER00644</t>
  </si>
  <si>
    <t>ORDER00645</t>
  </si>
  <si>
    <t>CUST0277</t>
  </si>
  <si>
    <t>ORDER00646</t>
  </si>
  <si>
    <t>ORDER00647</t>
  </si>
  <si>
    <t>ORDER00648</t>
  </si>
  <si>
    <t>ORDER00649</t>
  </si>
  <si>
    <t>ORDER00650</t>
  </si>
  <si>
    <t>ORDER00651</t>
  </si>
  <si>
    <t>ORDER00652</t>
  </si>
  <si>
    <t>ORDER00653</t>
  </si>
  <si>
    <t>ORDER00654</t>
  </si>
  <si>
    <t>ORDER00655</t>
  </si>
  <si>
    <t>ORDER00656</t>
  </si>
  <si>
    <t>ORDER00657</t>
  </si>
  <si>
    <t>ORDER00658</t>
  </si>
  <si>
    <t>ORDER00659</t>
  </si>
  <si>
    <t>ORDER00660</t>
  </si>
  <si>
    <t>ORDER00661</t>
  </si>
  <si>
    <t>ORDER00662</t>
  </si>
  <si>
    <t>ORDER00663</t>
  </si>
  <si>
    <t>ORDER00664</t>
  </si>
  <si>
    <t>ORDER00665</t>
  </si>
  <si>
    <t>ORDER00666</t>
  </si>
  <si>
    <t>ORDER00667</t>
  </si>
  <si>
    <t>ORDER00668</t>
  </si>
  <si>
    <t>ORDER00669</t>
  </si>
  <si>
    <t>ORDER00670</t>
  </si>
  <si>
    <t>ORDER00671</t>
  </si>
  <si>
    <t>ORDER00672</t>
  </si>
  <si>
    <t>ORDER00673</t>
  </si>
  <si>
    <t>ORDER00674</t>
  </si>
  <si>
    <t>CUST0116</t>
  </si>
  <si>
    <t>ORDER00675</t>
  </si>
  <si>
    <t>ORDER00676</t>
  </si>
  <si>
    <t>ORDER00677</t>
  </si>
  <si>
    <t>ORDER00678</t>
  </si>
  <si>
    <t>ORDER00679</t>
  </si>
  <si>
    <t>ORDER00680</t>
  </si>
  <si>
    <t>ORDER00681</t>
  </si>
  <si>
    <t>ORDER00682</t>
  </si>
  <si>
    <t>ORDER00683</t>
  </si>
  <si>
    <t>ORDER00684</t>
  </si>
  <si>
    <t>ORDER00685</t>
  </si>
  <si>
    <t>ORDER00686</t>
  </si>
  <si>
    <t>ORDER00687</t>
  </si>
  <si>
    <t>ORDER00688</t>
  </si>
  <si>
    <t>ORDER00689</t>
  </si>
  <si>
    <t>ORDER00690</t>
  </si>
  <si>
    <t>ORDER00691</t>
  </si>
  <si>
    <t>ORDER00692</t>
  </si>
  <si>
    <t>ORDER00693</t>
  </si>
  <si>
    <t>ORDER00694</t>
  </si>
  <si>
    <t>ORDER00695</t>
  </si>
  <si>
    <t>ORDER00696</t>
  </si>
  <si>
    <t>ORDER00697</t>
  </si>
  <si>
    <t>ORDER00698</t>
  </si>
  <si>
    <t>ORDER00699</t>
  </si>
  <si>
    <t>ORDER00700</t>
  </si>
  <si>
    <t>ORDER00701</t>
  </si>
  <si>
    <t>ORDER00702</t>
  </si>
  <si>
    <t>ORDER00703</t>
  </si>
  <si>
    <t>ORDER00704</t>
  </si>
  <si>
    <t>ORDER00705</t>
  </si>
  <si>
    <t>ORDER00706</t>
  </si>
  <si>
    <t>ORDER00707</t>
  </si>
  <si>
    <t>ORDER00708</t>
  </si>
  <si>
    <t>ORDER00709</t>
  </si>
  <si>
    <t>ORDER00710</t>
  </si>
  <si>
    <t>ORDER00711</t>
  </si>
  <si>
    <t>ORDER00712</t>
  </si>
  <si>
    <t>ORDER00713</t>
  </si>
  <si>
    <t>CUST0238</t>
  </si>
  <si>
    <t>ORDER00714</t>
  </si>
  <si>
    <t>ORDER00715</t>
  </si>
  <si>
    <t>CUST0221</t>
  </si>
  <si>
    <t>ORDER00716</t>
  </si>
  <si>
    <t>ORDER00717</t>
  </si>
  <si>
    <t>ORDER00718</t>
  </si>
  <si>
    <t>ORDER00719</t>
  </si>
  <si>
    <t>CUST0300</t>
  </si>
  <si>
    <t>ORDER00720</t>
  </si>
  <si>
    <t>ORDER00721</t>
  </si>
  <si>
    <t>ORDER00722</t>
  </si>
  <si>
    <t>ORDER00723</t>
  </si>
  <si>
    <t>ORDER00724</t>
  </si>
  <si>
    <t>ORDER00725</t>
  </si>
  <si>
    <t>ORDER00726</t>
  </si>
  <si>
    <t>ORDER00727</t>
  </si>
  <si>
    <t>ORDER00728</t>
  </si>
  <si>
    <t>ORDER00729</t>
  </si>
  <si>
    <t>ORDER00730</t>
  </si>
  <si>
    <t>CUST0207</t>
  </si>
  <si>
    <t>ORDER00731</t>
  </si>
  <si>
    <t>ORDER00732</t>
  </si>
  <si>
    <t>ORDER00733</t>
  </si>
  <si>
    <t>ORDER00734</t>
  </si>
  <si>
    <t>ORDER00735</t>
  </si>
  <si>
    <t>ORDER00736</t>
  </si>
  <si>
    <t>CUST0220</t>
  </si>
  <si>
    <t>ORDER00737</t>
  </si>
  <si>
    <t>ORDER00738</t>
  </si>
  <si>
    <t>ORDER00739</t>
  </si>
  <si>
    <t>ORDER00740</t>
  </si>
  <si>
    <t>ORDER00741</t>
  </si>
  <si>
    <t>ORDER00742</t>
  </si>
  <si>
    <t>ORDER00743</t>
  </si>
  <si>
    <t>ORDER00744</t>
  </si>
  <si>
    <t>ORDER00745</t>
  </si>
  <si>
    <t>ORDER00746</t>
  </si>
  <si>
    <t>CUST0066</t>
  </si>
  <si>
    <t>ORDER00747</t>
  </si>
  <si>
    <t>ORDER00748</t>
  </si>
  <si>
    <t>ORDER00749</t>
  </si>
  <si>
    <t>ORDER00750</t>
  </si>
  <si>
    <t>ORDER00751</t>
  </si>
  <si>
    <t>ORDER00752</t>
  </si>
  <si>
    <t>ORDER00753</t>
  </si>
  <si>
    <t>ORDER00754</t>
  </si>
  <si>
    <t>ORDER00755</t>
  </si>
  <si>
    <t>ORDER00756</t>
  </si>
  <si>
    <t>ORDER00757</t>
  </si>
  <si>
    <t>ORDER00758</t>
  </si>
  <si>
    <t>ORDER00759</t>
  </si>
  <si>
    <t>ORDER00760</t>
  </si>
  <si>
    <t>ORDER00761</t>
  </si>
  <si>
    <t>ORDER00762</t>
  </si>
  <si>
    <t>CUST0100</t>
  </si>
  <si>
    <t>ORDER00763</t>
  </si>
  <si>
    <t>CUST0240</t>
  </si>
  <si>
    <t>ORDER00764</t>
  </si>
  <si>
    <t>ORDER00765</t>
  </si>
  <si>
    <t>CUST0298</t>
  </si>
  <si>
    <t>ORDER00766</t>
  </si>
  <si>
    <t>ORDER00767</t>
  </si>
  <si>
    <t>ORDER00768</t>
  </si>
  <si>
    <t>ORDER00769</t>
  </si>
  <si>
    <t>ORDER00770</t>
  </si>
  <si>
    <t>ORDER00771</t>
  </si>
  <si>
    <t>ORDER00772</t>
  </si>
  <si>
    <t>ORDER00773</t>
  </si>
  <si>
    <t>ORDER00774</t>
  </si>
  <si>
    <t>ORDER00775</t>
  </si>
  <si>
    <t>ORDER00776</t>
  </si>
  <si>
    <t>ORDER00777</t>
  </si>
  <si>
    <t>CUST0028</t>
  </si>
  <si>
    <t>ORDER00778</t>
  </si>
  <si>
    <t>ORDER00779</t>
  </si>
  <si>
    <t>ORDER00780</t>
  </si>
  <si>
    <t>ORDER00781</t>
  </si>
  <si>
    <t>ORDER00782</t>
  </si>
  <si>
    <t>ORDER00783</t>
  </si>
  <si>
    <t>ORDER00784</t>
  </si>
  <si>
    <t>ORDER00785</t>
  </si>
  <si>
    <t>ORDER00786</t>
  </si>
  <si>
    <t>ORDER00787</t>
  </si>
  <si>
    <t>ORDER00788</t>
  </si>
  <si>
    <t>ORDER00789</t>
  </si>
  <si>
    <t>ORDER00790</t>
  </si>
  <si>
    <t>ORDER00791</t>
  </si>
  <si>
    <t>ORDER00792</t>
  </si>
  <si>
    <t>ORDER00793</t>
  </si>
  <si>
    <t>CUST0276</t>
  </si>
  <si>
    <t>ORDER00794</t>
  </si>
  <si>
    <t>ORDER00795</t>
  </si>
  <si>
    <t>ORDER00796</t>
  </si>
  <si>
    <t>ORDER00797</t>
  </si>
  <si>
    <t>ORDER00798</t>
  </si>
  <si>
    <t>ORDER00799</t>
  </si>
  <si>
    <t>CUST0121</t>
  </si>
  <si>
    <t>ORDER00800</t>
  </si>
  <si>
    <t>ORDER00801</t>
  </si>
  <si>
    <t>ORDER00802</t>
  </si>
  <si>
    <t>ORDER00803</t>
  </si>
  <si>
    <t>ORDER00804</t>
  </si>
  <si>
    <t>ORDER00805</t>
  </si>
  <si>
    <t>ORDER00806</t>
  </si>
  <si>
    <t>ORDER00807</t>
  </si>
  <si>
    <t>ORDER00808</t>
  </si>
  <si>
    <t>ORDER00809</t>
  </si>
  <si>
    <t>ORDER00810</t>
  </si>
  <si>
    <t>ORDER00811</t>
  </si>
  <si>
    <t>ORDER00812</t>
  </si>
  <si>
    <t>ORDER00813</t>
  </si>
  <si>
    <t>ORDER00814</t>
  </si>
  <si>
    <t>ORDER00815</t>
  </si>
  <si>
    <t>ORDER00816</t>
  </si>
  <si>
    <t>ORDER00817</t>
  </si>
  <si>
    <t>ORDER00818</t>
  </si>
  <si>
    <t>ORDER00819</t>
  </si>
  <si>
    <t>ORDER00820</t>
  </si>
  <si>
    <t>ORDER00821</t>
  </si>
  <si>
    <t>ORDER00822</t>
  </si>
  <si>
    <t>ORDER00823</t>
  </si>
  <si>
    <t>ORDER00824</t>
  </si>
  <si>
    <t>ORDER00825</t>
  </si>
  <si>
    <t>ORDER00826</t>
  </si>
  <si>
    <t>ORDER00827</t>
  </si>
  <si>
    <t>ORDER00828</t>
  </si>
  <si>
    <t>ORDER00829</t>
  </si>
  <si>
    <t>ORDER00830</t>
  </si>
  <si>
    <t>ORDER00831</t>
  </si>
  <si>
    <t>CUST0126</t>
  </si>
  <si>
    <t>ORDER00832</t>
  </si>
  <si>
    <t>ORDER00833</t>
  </si>
  <si>
    <t>ORDER00834</t>
  </si>
  <si>
    <t>ORDER00835</t>
  </si>
  <si>
    <t>ORDER00836</t>
  </si>
  <si>
    <t>ORDER00837</t>
  </si>
  <si>
    <t>ORDER00838</t>
  </si>
  <si>
    <t>ORDER00839</t>
  </si>
  <si>
    <t>ORDER00840</t>
  </si>
  <si>
    <t>ORDER00841</t>
  </si>
  <si>
    <t>ORDER00842</t>
  </si>
  <si>
    <t>ORDER00843</t>
  </si>
  <si>
    <t>ORDER00844</t>
  </si>
  <si>
    <t>ORDER00845</t>
  </si>
  <si>
    <t>ORDER00846</t>
  </si>
  <si>
    <t>ORDER00847</t>
  </si>
  <si>
    <t>ORDER00848</t>
  </si>
  <si>
    <t>ORDER00849</t>
  </si>
  <si>
    <t>ORDER00850</t>
  </si>
  <si>
    <t>CUST0290</t>
  </si>
  <si>
    <t>ORDER00851</t>
  </si>
  <si>
    <t>ORDER00852</t>
  </si>
  <si>
    <t>ORDER00853</t>
  </si>
  <si>
    <t>ORDER00854</t>
  </si>
  <si>
    <t>ORDER00855</t>
  </si>
  <si>
    <t>ORDER00856</t>
  </si>
  <si>
    <t>ORDER00857</t>
  </si>
  <si>
    <t>ORDER00858</t>
  </si>
  <si>
    <t>ORDER00859</t>
  </si>
  <si>
    <t>ORDER00860</t>
  </si>
  <si>
    <t>ORDER00861</t>
  </si>
  <si>
    <t>ORDER00862</t>
  </si>
  <si>
    <t>ORDER00863</t>
  </si>
  <si>
    <t>ORDER00864</t>
  </si>
  <si>
    <t>ORDER00865</t>
  </si>
  <si>
    <t>ORDER00866</t>
  </si>
  <si>
    <t>ORDER00867</t>
  </si>
  <si>
    <t>ORDER00868</t>
  </si>
  <si>
    <t>ORDER00869</t>
  </si>
  <si>
    <t>ORDER00870</t>
  </si>
  <si>
    <t>ORDER00871</t>
  </si>
  <si>
    <t>ORDER00872</t>
  </si>
  <si>
    <t>ORDER00873</t>
  </si>
  <si>
    <t>ORDER00874</t>
  </si>
  <si>
    <t>ORDER00875</t>
  </si>
  <si>
    <t>ORDER00876</t>
  </si>
  <si>
    <t>ORDER00877</t>
  </si>
  <si>
    <t>ORDER00878</t>
  </si>
  <si>
    <t>ORDER00879</t>
  </si>
  <si>
    <t>ORDER00880</t>
  </si>
  <si>
    <t>ORDER00881</t>
  </si>
  <si>
    <t>ORDER00882</t>
  </si>
  <si>
    <t>ORDER00883</t>
  </si>
  <si>
    <t>ORDER00884</t>
  </si>
  <si>
    <t>ORDER00885</t>
  </si>
  <si>
    <t>ORDER00886</t>
  </si>
  <si>
    <t>ORDER00887</t>
  </si>
  <si>
    <t>CUST0279</t>
  </si>
  <si>
    <t>ORDER00888</t>
  </si>
  <si>
    <t>ORDER00889</t>
  </si>
  <si>
    <t>ORDER00890</t>
  </si>
  <si>
    <t>ORDER00891</t>
  </si>
  <si>
    <t>ORDER00892</t>
  </si>
  <si>
    <t>ORDER00893</t>
  </si>
  <si>
    <t>ORDER00894</t>
  </si>
  <si>
    <t>ORDER00895</t>
  </si>
  <si>
    <t>ORDER00896</t>
  </si>
  <si>
    <t>ORDER00897</t>
  </si>
  <si>
    <t>ORDER00898</t>
  </si>
  <si>
    <t>ORDER00899</t>
  </si>
  <si>
    <t>ORDER00900</t>
  </si>
  <si>
    <t>ORDER00901</t>
  </si>
  <si>
    <t>ORDER00902</t>
  </si>
  <si>
    <t>ORDER00903</t>
  </si>
  <si>
    <t>ORDER00904</t>
  </si>
  <si>
    <t>ORDER00905</t>
  </si>
  <si>
    <t>ORDER00906</t>
  </si>
  <si>
    <t>ORDER00907</t>
  </si>
  <si>
    <t>ORDER00908</t>
  </si>
  <si>
    <t>ORDER00909</t>
  </si>
  <si>
    <t>ORDER00910</t>
  </si>
  <si>
    <t>ORDER00911</t>
  </si>
  <si>
    <t>ORDER00912</t>
  </si>
  <si>
    <t>ORDER00913</t>
  </si>
  <si>
    <t>ORDER00914</t>
  </si>
  <si>
    <t>ORDER00915</t>
  </si>
  <si>
    <t>ORDER00916</t>
  </si>
  <si>
    <t>CUST0043</t>
  </si>
  <si>
    <t>ORDER00917</t>
  </si>
  <si>
    <t>ORDER00918</t>
  </si>
  <si>
    <t>ORDER00919</t>
  </si>
  <si>
    <t>ORDER00920</t>
  </si>
  <si>
    <t>ORDER00921</t>
  </si>
  <si>
    <t>ORDER00922</t>
  </si>
  <si>
    <t>ORDER00923</t>
  </si>
  <si>
    <t>CUST0203</t>
  </si>
  <si>
    <t>ORDER00924</t>
  </si>
  <si>
    <t>ORDER00925</t>
  </si>
  <si>
    <t>ORDER00926</t>
  </si>
  <si>
    <t>ORDER00927</t>
  </si>
  <si>
    <t>ORDER00928</t>
  </si>
  <si>
    <t>ORDER00929</t>
  </si>
  <si>
    <t>ORDER00930</t>
  </si>
  <si>
    <t>ORDER00931</t>
  </si>
  <si>
    <t>ORDER00932</t>
  </si>
  <si>
    <t>ORDER00933</t>
  </si>
  <si>
    <t>ORDER00934</t>
  </si>
  <si>
    <t>ORDER00935</t>
  </si>
  <si>
    <t>ORDER00936</t>
  </si>
  <si>
    <t>ORDER00937</t>
  </si>
  <si>
    <t>ORDER00938</t>
  </si>
  <si>
    <t>ORDER00939</t>
  </si>
  <si>
    <t>ORDER00940</t>
  </si>
  <si>
    <t>ORDER00941</t>
  </si>
  <si>
    <t>ORDER00942</t>
  </si>
  <si>
    <t>ORDER00943</t>
  </si>
  <si>
    <t>ORDER00944</t>
  </si>
  <si>
    <t>ORDER00945</t>
  </si>
  <si>
    <t>ORDER00946</t>
  </si>
  <si>
    <t>ORDER00947</t>
  </si>
  <si>
    <t>ORDER00948</t>
  </si>
  <si>
    <t>ORDER00949</t>
  </si>
  <si>
    <t>ORDER00950</t>
  </si>
  <si>
    <t>CUST0071</t>
  </si>
  <si>
    <t>ORDER00951</t>
  </si>
  <si>
    <t>ORDER00952</t>
  </si>
  <si>
    <t>ORDER00953</t>
  </si>
  <si>
    <t>ORDER00954</t>
  </si>
  <si>
    <t>ORDER00955</t>
  </si>
  <si>
    <t>ORDER00956</t>
  </si>
  <si>
    <t>ORDER00957</t>
  </si>
  <si>
    <t>ORDER00958</t>
  </si>
  <si>
    <t>ORDER00959</t>
  </si>
  <si>
    <t>ORDER00960</t>
  </si>
  <si>
    <t>ORDER00961</t>
  </si>
  <si>
    <t>ORDER00962</t>
  </si>
  <si>
    <t>ORDER00963</t>
  </si>
  <si>
    <t>ORDER00964</t>
  </si>
  <si>
    <t>ORDER00965</t>
  </si>
  <si>
    <t>ORDER00966</t>
  </si>
  <si>
    <t>ORDER00967</t>
  </si>
  <si>
    <t>ORDER00968</t>
  </si>
  <si>
    <t>ORDER00969</t>
  </si>
  <si>
    <t>ORDER00970</t>
  </si>
  <si>
    <t>ORDER00971</t>
  </si>
  <si>
    <t>ORDER00972</t>
  </si>
  <si>
    <t>ORDER00973</t>
  </si>
  <si>
    <t>ORDER00974</t>
  </si>
  <si>
    <t>ORDER00975</t>
  </si>
  <si>
    <t>ORDER00976</t>
  </si>
  <si>
    <t>ORDER00977</t>
  </si>
  <si>
    <t>ORDER00978</t>
  </si>
  <si>
    <t>ORDER00979</t>
  </si>
  <si>
    <t>ORDER00980</t>
  </si>
  <si>
    <t>ORDER00981</t>
  </si>
  <si>
    <t>ORDER00982</t>
  </si>
  <si>
    <t>ORDER00983</t>
  </si>
  <si>
    <t>CUST0167</t>
  </si>
  <si>
    <t>ORDER00984</t>
  </si>
  <si>
    <t>ORDER00985</t>
  </si>
  <si>
    <t>ORDER00986</t>
  </si>
  <si>
    <t>ORDER00987</t>
  </si>
  <si>
    <t>ORDER00988</t>
  </si>
  <si>
    <t>ORDER00989</t>
  </si>
  <si>
    <t>ORDER00990</t>
  </si>
  <si>
    <t>ORDER00991</t>
  </si>
  <si>
    <t>ORDER00992</t>
  </si>
  <si>
    <t>ORDER00993</t>
  </si>
  <si>
    <t>ORDER00994</t>
  </si>
  <si>
    <t>ORDER00995</t>
  </si>
  <si>
    <t>ORDER00996</t>
  </si>
  <si>
    <t>ORDER00997</t>
  </si>
  <si>
    <t>ORDER00998</t>
  </si>
  <si>
    <t>ORDER00999</t>
  </si>
  <si>
    <t>ORDER01000</t>
  </si>
  <si>
    <t>Recency</t>
  </si>
  <si>
    <t>Frequency</t>
  </si>
  <si>
    <t>Monetary</t>
  </si>
  <si>
    <t>Most Recent Purchase</t>
  </si>
  <si>
    <t>Number of Purchases</t>
  </si>
  <si>
    <t>Total Order Value</t>
  </si>
  <si>
    <t>Customer_ID</t>
  </si>
  <si>
    <t>Grand Total</t>
  </si>
  <si>
    <t>R_Score</t>
  </si>
  <si>
    <t>F_Score</t>
  </si>
  <si>
    <t>M_Score</t>
  </si>
  <si>
    <t>RFM_Score</t>
  </si>
  <si>
    <t>RFM_Category</t>
  </si>
  <si>
    <t>Count of Customer_ID</t>
  </si>
  <si>
    <t>At Risk</t>
  </si>
  <si>
    <t>Best Customers</t>
  </si>
  <si>
    <t>Loyal Customers</t>
  </si>
  <si>
    <t>Need Attention</t>
  </si>
  <si>
    <t>Potential Loyal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</si>
</sst>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6" fillId="0" borderId="10" xfId="0" applyFont="1" applyBorder="1"/>
    <xf numFmtId="0" fontId="16" fillId="0" borderId="11" xfId="0" applyFont="1" applyBorder="1"/>
    <xf numFmtId="1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8.569539236109" createdVersion="8" refreshedVersion="8" minRefreshableVersion="3" recordCount="287" xr:uid="{A8F54F92-3FBB-414A-8251-904C8F1FD17A}">
  <cacheSource type="worksheet">
    <worksheetSource ref="A1:I288" sheet="RFM_Calculations"/>
  </cacheSource>
  <cacheFields count="9">
    <cacheField name="Customer_ID" numFmtId="0">
      <sharedItems/>
    </cacheField>
    <cacheField name="Recency" numFmtId="1">
      <sharedItems containsSemiMixedTypes="0" containsString="0" containsNumber="1" minValue="17.656990740739275" maxValue="377.65699074073927"/>
    </cacheField>
    <cacheField name="Frequency" numFmtId="0">
      <sharedItems containsSemiMixedTypes="0" containsString="0" containsNumber="1" containsInteger="1" minValue="1" maxValue="12"/>
    </cacheField>
    <cacheField name="Monetary" numFmtId="0">
      <sharedItems containsSemiMixedTypes="0" containsString="0" containsNumber="1" minValue="4.12" maxValue="190.97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Score" numFmtId="0">
      <sharedItems containsSemiMixedTypes="0" containsString="0" containsNumber="1" containsInteger="1" minValue="3" maxValue="15"/>
    </cacheField>
    <cacheField name="RFM_Category" numFmtId="0">
      <sharedItems count="6">
        <s v="Best Customers"/>
        <s v="Loyal Customers"/>
        <s v="Potential Loyal Customers"/>
        <s v="Need Attention"/>
        <s v="At Risk"/>
        <e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8.569539236109" createdVersion="8" refreshedVersion="8" minRefreshableVersion="3" recordCount="1000" xr:uid="{97B385C7-EB95-475F-82E2-0C8B402940E4}">
  <cacheSource type="worksheet">
    <worksheetSource ref="A1:E1001" sheet="print_shop_orders"/>
  </cacheSource>
  <cacheFields count="5">
    <cacheField name="OrderID" numFmtId="0">
      <sharedItems/>
    </cacheField>
    <cacheField name="CustomerID" numFmtId="0">
      <sharedItems count="287">
        <s v="CUST0259"/>
        <s v="CUST0161"/>
        <s v="CUST0178"/>
        <s v="CUST0010"/>
        <s v="CUST0261"/>
        <s v="CUST0138"/>
        <s v="CUST0172"/>
        <s v="CUST0013"/>
        <s v="CUST0168"/>
        <s v="CUST0130"/>
        <s v="CUST0084"/>
        <s v="CUST0101"/>
        <s v="CUST0273"/>
        <s v="CUST0265"/>
        <s v="CUST0038"/>
        <s v="CUST0094"/>
        <s v="CUST0095"/>
        <s v="CUST0069"/>
        <s v="CUST0236"/>
        <s v="CUST0137"/>
        <s v="CUST0076"/>
        <s v="CUST0035"/>
        <s v="CUST0001"/>
        <s v="CUST0296"/>
        <s v="CUST0060"/>
        <s v="CUST0267"/>
        <s v="CUST0229"/>
        <s v="CUST0270"/>
        <s v="CUST0286"/>
        <s v="CUST0291"/>
        <s v="CUST0213"/>
        <s v="CUST0165"/>
        <s v="CUST0005"/>
        <s v="CUST0078"/>
        <s v="CUST0062"/>
        <s v="CUST0132"/>
        <s v="CUST0089"/>
        <s v="CUST0237"/>
        <s v="CUST0042"/>
        <s v="CUST0295"/>
        <s v="CUST0104"/>
        <s v="CUST0014"/>
        <s v="CUST0288"/>
        <s v="CUST0179"/>
        <s v="CUST0125"/>
        <s v="CUST0023"/>
        <s v="CUST0063"/>
        <s v="CUST0143"/>
        <s v="CUST0153"/>
        <s v="CUST0145"/>
        <s v="CUST0225"/>
        <s v="CUST0039"/>
        <s v="CUST0198"/>
        <s v="CUST0134"/>
        <s v="CUST0067"/>
        <s v="CUST0015"/>
        <s v="CUST0111"/>
        <s v="CUST0157"/>
        <s v="CUST0289"/>
        <s v="CUST0231"/>
        <s v="CUST0097"/>
        <s v="CUST0254"/>
        <s v="CUST0196"/>
        <s v="CUST0086"/>
        <s v="CUST0123"/>
        <s v="CUST0118"/>
        <s v="CUST0294"/>
        <s v="CUST0159"/>
        <s v="CUST0228"/>
        <s v="CUST0216"/>
        <s v="CUST0184"/>
        <s v="CUST0136"/>
        <s v="CUST0047"/>
        <s v="CUST0173"/>
        <s v="CUST0115"/>
        <s v="CUST0243"/>
        <s v="CUST0292"/>
        <s v="CUST0282"/>
        <s v="CUST0299"/>
        <s v="CUST0283"/>
        <s v="CUST0148"/>
        <s v="CUST0011"/>
        <s v="CUST0200"/>
        <s v="CUST0218"/>
        <s v="CUST0141"/>
        <s v="CUST0210"/>
        <s v="CUST0171"/>
        <s v="CUST0133"/>
        <s v="CUST0293"/>
        <s v="CUST0127"/>
        <s v="CUST0106"/>
        <s v="CUST0092"/>
        <s v="CUST0287"/>
        <s v="CUST0051"/>
        <s v="CUST0029"/>
        <s v="CUST0297"/>
        <s v="CUST0214"/>
        <s v="CUST0257"/>
        <s v="CUST0110"/>
        <s v="CUST0182"/>
        <s v="CUST0055"/>
        <s v="CUST0149"/>
        <s v="CUST0202"/>
        <s v="CUST0117"/>
        <s v="CUST0154"/>
        <s v="CUST0244"/>
        <s v="CUST0025"/>
        <s v="CUST0090"/>
        <s v="CUST0075"/>
        <s v="CUST0017"/>
        <s v="CUST0128"/>
        <s v="CUST0251"/>
        <s v="CUST0152"/>
        <s v="CUST0180"/>
        <s v="CUST0177"/>
        <s v="CUST0285"/>
        <s v="CUST0150"/>
        <s v="CUST0156"/>
        <s v="CUST0049"/>
        <s v="CUST0189"/>
        <s v="CUST0224"/>
        <s v="CUST0215"/>
        <s v="CUST0211"/>
        <s v="CUST0032"/>
        <s v="CUST0158"/>
        <s v="CUST0144"/>
        <s v="CUST0019"/>
        <s v="CUST0018"/>
        <s v="CUST0175"/>
        <s v="CUST0194"/>
        <s v="CUST0113"/>
        <s v="CUST0114"/>
        <s v="CUST0222"/>
        <s v="CUST0166"/>
        <s v="CUST0264"/>
        <s v="CUST0131"/>
        <s v="CUST0266"/>
        <s v="CUST0162"/>
        <s v="CUST0087"/>
        <s v="CUST0008"/>
        <s v="CUST0247"/>
        <s v="CUST0255"/>
        <s v="CUST0054"/>
        <s v="CUST0249"/>
        <s v="CUST0239"/>
        <s v="CUST0096"/>
        <s v="CUST0088"/>
        <s v="CUST0120"/>
        <s v="CUST0223"/>
        <s v="CUST0007"/>
        <s v="CUST0263"/>
        <s v="CUST0151"/>
        <s v="CUST0085"/>
        <s v="CUST0147"/>
        <s v="CUST0112"/>
        <s v="CUST0036"/>
        <s v="CUST0188"/>
        <s v="CUST0082"/>
        <s v="CUST0002"/>
        <s v="CUST0197"/>
        <s v="CUST0234"/>
        <s v="CUST0195"/>
        <s v="CUST0119"/>
        <s v="CUST0020"/>
        <s v="CUST0256"/>
        <s v="CUST0226"/>
        <s v="CUST0053"/>
        <s v="CUST0280"/>
        <s v="CUST0081"/>
        <s v="CUST0059"/>
        <s v="CUST0209"/>
        <s v="CUST0009"/>
        <s v="CUST0040"/>
        <s v="CUST0281"/>
        <s v="CUST0201"/>
        <s v="CUST0246"/>
        <s v="CUST0278"/>
        <s v="CUST0235"/>
        <s v="CUST0004"/>
        <s v="CUST0109"/>
        <s v="CUST0098"/>
        <s v="CUST0146"/>
        <s v="CUST0041"/>
        <s v="CUST0034"/>
        <s v="CUST0027"/>
        <s v="CUST0219"/>
        <s v="CUST0268"/>
        <s v="CUST0190"/>
        <s v="CUST0122"/>
        <s v="CUST0046"/>
        <s v="CUST0064"/>
        <s v="CUST0193"/>
        <s v="CUST0181"/>
        <s v="CUST0164"/>
        <s v="CUST0187"/>
        <s v="CUST0232"/>
        <s v="CUST0227"/>
        <s v="CUST0250"/>
        <s v="CUST0073"/>
        <s v="CUST0129"/>
        <s v="CUST0217"/>
        <s v="CUST0061"/>
        <s v="CUST0108"/>
        <s v="CUST0102"/>
        <s v="CUST0012"/>
        <s v="CUST0275"/>
        <s v="CUST0044"/>
        <s v="CUST0057"/>
        <s v="CUST0080"/>
        <s v="CUST0026"/>
        <s v="CUST0016"/>
        <s v="CUST0199"/>
        <s v="CUST0176"/>
        <s v="CUST0103"/>
        <s v="CUST0183"/>
        <s v="CUST0170"/>
        <s v="CUST0269"/>
        <s v="CUST0274"/>
        <s v="CUST0245"/>
        <s v="CUST0185"/>
        <s v="CUST0272"/>
        <s v="CUST0065"/>
        <s v="CUST0003"/>
        <s v="CUST0142"/>
        <s v="CUST0140"/>
        <s v="CUST0052"/>
        <s v="CUST0260"/>
        <s v="CUST0072"/>
        <s v="CUST0107"/>
        <s v="CUST0241"/>
        <s v="CUST0262"/>
        <s v="CUST0099"/>
        <s v="CUST0160"/>
        <s v="CUST0068"/>
        <s v="CUST0105"/>
        <s v="CUST0124"/>
        <s v="CUST0037"/>
        <s v="CUST0284"/>
        <s v="CUST0186"/>
        <s v="CUST0056"/>
        <s v="CUST0169"/>
        <s v="CUST0045"/>
        <s v="CUST0191"/>
        <s v="CUST0155"/>
        <s v="CUST0031"/>
        <s v="CUST0258"/>
        <s v="CUST0206"/>
        <s v="CUST0077"/>
        <s v="CUST0233"/>
        <s v="CUST0163"/>
        <s v="CUST0074"/>
        <s v="CUST0242"/>
        <s v="CUST0192"/>
        <s v="CUST0022"/>
        <s v="CUST0204"/>
        <s v="CUST0033"/>
        <s v="CUST0079"/>
        <s v="CUST0058"/>
        <s v="CUST0271"/>
        <s v="CUST0021"/>
        <s v="CUST0208"/>
        <s v="CUST0093"/>
        <s v="CUST0174"/>
        <s v="CUST0050"/>
        <s v="CUST0024"/>
        <s v="CUST0205"/>
        <s v="CUST0277"/>
        <s v="CUST0116"/>
        <s v="CUST0238"/>
        <s v="CUST0221"/>
        <s v="CUST0300"/>
        <s v="CUST0207"/>
        <s v="CUST0220"/>
        <s v="CUST0066"/>
        <s v="CUST0100"/>
        <s v="CUST0240"/>
        <s v="CUST0298"/>
        <s v="CUST0028"/>
        <s v="CUST0276"/>
        <s v="CUST0121"/>
        <s v="CUST0126"/>
        <s v="CUST0290"/>
        <s v="CUST0279"/>
        <s v="CUST0043"/>
        <s v="CUST0203"/>
        <s v="CUST0071"/>
        <s v="CUST0167"/>
      </sharedItems>
    </cacheField>
    <cacheField name="OrderDate" numFmtId="14">
      <sharedItems containsSemiMixedTypes="0" containsNonDate="0" containsDate="1" containsString="0" minDate="2024-10-31T08:13:56" maxDate="2025-10-30T08:13:56"/>
    </cacheField>
    <cacheField name="ProductType" numFmtId="0">
      <sharedItems/>
    </cacheField>
    <cacheField name="OrderValue" numFmtId="0">
      <sharedItems containsSemiMixedTypes="0" containsString="0" containsNumber="1" minValue="4.0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CUST0001"/>
    <n v="47.656990740739275"/>
    <n v="5"/>
    <n v="64.5"/>
    <n v="4"/>
    <n v="5"/>
    <n v="4"/>
    <n v="13"/>
    <x v="0"/>
  </r>
  <r>
    <s v="CUST0002"/>
    <n v="17.656990740739275"/>
    <n v="4"/>
    <n v="53.9"/>
    <n v="5"/>
    <n v="4"/>
    <n v="3"/>
    <n v="12"/>
    <x v="1"/>
  </r>
  <r>
    <s v="CUST0003"/>
    <n v="155.65699074073927"/>
    <n v="4"/>
    <n v="75.75"/>
    <n v="2"/>
    <n v="4"/>
    <n v="4"/>
    <n v="10"/>
    <x v="1"/>
  </r>
  <r>
    <s v="CUST0004"/>
    <n v="67.656990740739275"/>
    <n v="4"/>
    <n v="123.07"/>
    <n v="4"/>
    <n v="4"/>
    <n v="5"/>
    <n v="13"/>
    <x v="0"/>
  </r>
  <r>
    <s v="CUST0005"/>
    <n v="31.656990740739275"/>
    <n v="4"/>
    <n v="63.34"/>
    <n v="5"/>
    <n v="4"/>
    <n v="4"/>
    <n v="13"/>
    <x v="0"/>
  </r>
  <r>
    <s v="CUST0007"/>
    <n v="159.65699074073927"/>
    <n v="5"/>
    <n v="104.63000000000001"/>
    <n v="2"/>
    <n v="5"/>
    <n v="5"/>
    <n v="12"/>
    <x v="1"/>
  </r>
  <r>
    <s v="CUST0008"/>
    <n v="61.656990740739275"/>
    <n v="4"/>
    <n v="106.62"/>
    <n v="4"/>
    <n v="4"/>
    <n v="5"/>
    <n v="13"/>
    <x v="0"/>
  </r>
  <r>
    <s v="CUST0009"/>
    <n v="36.656990740739275"/>
    <n v="6"/>
    <n v="139.02000000000001"/>
    <n v="5"/>
    <n v="5"/>
    <n v="5"/>
    <n v="15"/>
    <x v="0"/>
  </r>
  <r>
    <s v="CUST0010"/>
    <n v="41.656990740739275"/>
    <n v="4"/>
    <n v="35.17"/>
    <n v="4"/>
    <n v="4"/>
    <n v="2"/>
    <n v="10"/>
    <x v="1"/>
  </r>
  <r>
    <s v="CUST0011"/>
    <n v="34.656990740739275"/>
    <n v="6"/>
    <n v="128.11000000000001"/>
    <n v="5"/>
    <n v="5"/>
    <n v="5"/>
    <n v="15"/>
    <x v="0"/>
  </r>
  <r>
    <s v="CUST0012"/>
    <n v="59.656990740739275"/>
    <n v="9"/>
    <n v="187.09000000000003"/>
    <n v="4"/>
    <n v="5"/>
    <n v="5"/>
    <n v="14"/>
    <x v="0"/>
  </r>
  <r>
    <s v="CUST0013"/>
    <n v="25.656990740739275"/>
    <n v="2"/>
    <n v="30.9"/>
    <n v="5"/>
    <n v="2"/>
    <n v="2"/>
    <n v="9"/>
    <x v="2"/>
  </r>
  <r>
    <s v="CUST0014"/>
    <n v="84.656990740739275"/>
    <n v="6"/>
    <n v="132.01"/>
    <n v="3"/>
    <n v="5"/>
    <n v="5"/>
    <n v="13"/>
    <x v="0"/>
  </r>
  <r>
    <s v="CUST0015"/>
    <n v="130.65699074073927"/>
    <n v="5"/>
    <n v="58.190000000000005"/>
    <n v="2"/>
    <n v="5"/>
    <n v="3"/>
    <n v="10"/>
    <x v="1"/>
  </r>
  <r>
    <s v="CUST0016"/>
    <n v="192.65699074073927"/>
    <n v="2"/>
    <n v="39.26"/>
    <n v="1"/>
    <n v="2"/>
    <n v="2"/>
    <n v="5"/>
    <x v="3"/>
  </r>
  <r>
    <s v="CUST0017"/>
    <n v="109.65699074073927"/>
    <n v="6"/>
    <n v="90.009999999999991"/>
    <n v="3"/>
    <n v="5"/>
    <n v="4"/>
    <n v="12"/>
    <x v="1"/>
  </r>
  <r>
    <s v="CUST0018"/>
    <n v="149.65699074073927"/>
    <n v="2"/>
    <n v="68.16"/>
    <n v="2"/>
    <n v="2"/>
    <n v="4"/>
    <n v="8"/>
    <x v="2"/>
  </r>
  <r>
    <s v="CUST0019"/>
    <n v="82.656990740739275"/>
    <n v="3"/>
    <n v="50.73"/>
    <n v="3"/>
    <n v="3"/>
    <n v="3"/>
    <n v="9"/>
    <x v="2"/>
  </r>
  <r>
    <s v="CUST0020"/>
    <n v="109.65699074073927"/>
    <n v="4"/>
    <n v="52.31"/>
    <n v="3"/>
    <n v="4"/>
    <n v="3"/>
    <n v="10"/>
    <x v="1"/>
  </r>
  <r>
    <s v="CUST0021"/>
    <n v="143.65699074073927"/>
    <n v="3"/>
    <n v="57.05"/>
    <n v="2"/>
    <n v="3"/>
    <n v="3"/>
    <n v="8"/>
    <x v="2"/>
  </r>
  <r>
    <s v="CUST0022"/>
    <n v="25.656990740739275"/>
    <n v="3"/>
    <n v="50.93"/>
    <n v="5"/>
    <n v="3"/>
    <n v="3"/>
    <n v="11"/>
    <x v="1"/>
  </r>
  <r>
    <s v="CUST0023"/>
    <n v="108.65699074073927"/>
    <n v="3"/>
    <n v="62.489999999999995"/>
    <n v="3"/>
    <n v="3"/>
    <n v="4"/>
    <n v="10"/>
    <x v="1"/>
  </r>
  <r>
    <s v="CUST0024"/>
    <n v="90.656990740739275"/>
    <n v="2"/>
    <n v="16.66"/>
    <n v="3"/>
    <n v="2"/>
    <n v="1"/>
    <n v="6"/>
    <x v="3"/>
  </r>
  <r>
    <s v="CUST0025"/>
    <n v="57.656990740739275"/>
    <n v="6"/>
    <n v="109.94"/>
    <n v="4"/>
    <n v="5"/>
    <n v="5"/>
    <n v="14"/>
    <x v="0"/>
  </r>
  <r>
    <s v="CUST0026"/>
    <n v="159.65699074073927"/>
    <n v="4"/>
    <n v="95.759999999999991"/>
    <n v="2"/>
    <n v="4"/>
    <n v="5"/>
    <n v="11"/>
    <x v="1"/>
  </r>
  <r>
    <s v="CUST0027"/>
    <n v="146.65699074073927"/>
    <n v="5"/>
    <n v="70.66"/>
    <n v="2"/>
    <n v="5"/>
    <n v="4"/>
    <n v="11"/>
    <x v="1"/>
  </r>
  <r>
    <s v="CUST0028"/>
    <n v="131.65699074073927"/>
    <n v="1"/>
    <n v="4.8600000000000003"/>
    <n v="2"/>
    <n v="1"/>
    <n v="1"/>
    <n v="4"/>
    <x v="3"/>
  </r>
  <r>
    <s v="CUST0029"/>
    <n v="78.656990740739275"/>
    <n v="6"/>
    <n v="130.92000000000002"/>
    <n v="3"/>
    <n v="5"/>
    <n v="5"/>
    <n v="13"/>
    <x v="0"/>
  </r>
  <r>
    <s v="CUST0031"/>
    <n v="289.65699074073927"/>
    <n v="1"/>
    <n v="9.42"/>
    <n v="1"/>
    <n v="1"/>
    <n v="1"/>
    <n v="3"/>
    <x v="4"/>
  </r>
  <r>
    <s v="CUST0032"/>
    <n v="151.65699074073927"/>
    <n v="2"/>
    <n v="26.84"/>
    <n v="2"/>
    <n v="2"/>
    <n v="2"/>
    <n v="6"/>
    <x v="3"/>
  </r>
  <r>
    <s v="CUST0033"/>
    <n v="43.656990740739275"/>
    <n v="1"/>
    <n v="5.71"/>
    <n v="4"/>
    <n v="1"/>
    <n v="1"/>
    <n v="6"/>
    <x v="3"/>
  </r>
  <r>
    <s v="CUST0034"/>
    <n v="230.65699074073927"/>
    <n v="2"/>
    <n v="15.89"/>
    <n v="1"/>
    <n v="2"/>
    <n v="1"/>
    <n v="4"/>
    <x v="3"/>
  </r>
  <r>
    <s v="CUST0035"/>
    <n v="190.65699074073927"/>
    <n v="3"/>
    <n v="58.38"/>
    <n v="1"/>
    <n v="3"/>
    <n v="3"/>
    <n v="7"/>
    <x v="2"/>
  </r>
  <r>
    <s v="CUST0036"/>
    <n v="32.656990740739275"/>
    <n v="3"/>
    <n v="72.06"/>
    <n v="5"/>
    <n v="3"/>
    <n v="4"/>
    <n v="12"/>
    <x v="1"/>
  </r>
  <r>
    <s v="CUST0037"/>
    <n v="93.656990740739275"/>
    <n v="3"/>
    <n v="40.36"/>
    <n v="3"/>
    <n v="3"/>
    <n v="2"/>
    <n v="8"/>
    <x v="2"/>
  </r>
  <r>
    <s v="CUST0038"/>
    <n v="72.656990740739275"/>
    <n v="4"/>
    <n v="44.35"/>
    <n v="3"/>
    <n v="4"/>
    <n v="2"/>
    <n v="9"/>
    <x v="2"/>
  </r>
  <r>
    <s v="CUST0039"/>
    <n v="40.656990740739275"/>
    <n v="8"/>
    <n v="167.44"/>
    <n v="5"/>
    <n v="5"/>
    <n v="5"/>
    <n v="15"/>
    <x v="0"/>
  </r>
  <r>
    <s v="CUST0040"/>
    <n v="46.656990740739275"/>
    <n v="6"/>
    <n v="101.46000000000001"/>
    <n v="4"/>
    <n v="5"/>
    <n v="5"/>
    <n v="14"/>
    <x v="0"/>
  </r>
  <r>
    <s v="CUST0041"/>
    <n v="209.65699074073927"/>
    <n v="4"/>
    <n v="63.980000000000004"/>
    <n v="1"/>
    <n v="4"/>
    <n v="4"/>
    <n v="9"/>
    <x v="2"/>
  </r>
  <r>
    <s v="CUST0042"/>
    <n v="174.65699074073927"/>
    <n v="4"/>
    <n v="106.78"/>
    <n v="2"/>
    <n v="4"/>
    <n v="5"/>
    <n v="11"/>
    <x v="1"/>
  </r>
  <r>
    <s v="CUST0043"/>
    <n v="237.65699074073927"/>
    <n v="1"/>
    <n v="12.17"/>
    <n v="1"/>
    <n v="1"/>
    <n v="1"/>
    <n v="3"/>
    <x v="4"/>
  </r>
  <r>
    <s v="CUST0044"/>
    <n v="129.65699074073927"/>
    <n v="2"/>
    <n v="10.379999999999999"/>
    <n v="2"/>
    <n v="2"/>
    <n v="1"/>
    <n v="5"/>
    <x v="3"/>
  </r>
  <r>
    <s v="CUST0045"/>
    <n v="97.656990740739275"/>
    <n v="2"/>
    <n v="23.240000000000002"/>
    <n v="3"/>
    <n v="2"/>
    <n v="1"/>
    <n v="6"/>
    <x v="3"/>
  </r>
  <r>
    <s v="CUST0046"/>
    <n v="190.65699074073927"/>
    <n v="4"/>
    <n v="65.58"/>
    <n v="1"/>
    <n v="4"/>
    <n v="4"/>
    <n v="9"/>
    <x v="2"/>
  </r>
  <r>
    <s v="CUST0047"/>
    <n v="135.65699074073927"/>
    <n v="4"/>
    <n v="90.01"/>
    <n v="2"/>
    <n v="4"/>
    <n v="4"/>
    <n v="10"/>
    <x v="1"/>
  </r>
  <r>
    <s v="CUST0049"/>
    <n v="212.65699074073927"/>
    <n v="4"/>
    <n v="32.14"/>
    <n v="1"/>
    <n v="4"/>
    <n v="2"/>
    <n v="7"/>
    <x v="2"/>
  </r>
  <r>
    <s v="CUST0050"/>
    <n v="165.65699074073927"/>
    <n v="3"/>
    <n v="32.49"/>
    <n v="2"/>
    <n v="3"/>
    <n v="2"/>
    <n v="7"/>
    <x v="2"/>
  </r>
  <r>
    <s v="CUST0051"/>
    <n v="89.656990740739275"/>
    <n v="3"/>
    <n v="86.679999999999993"/>
    <n v="3"/>
    <n v="3"/>
    <n v="4"/>
    <n v="10"/>
    <x v="1"/>
  </r>
  <r>
    <s v="CUST0052"/>
    <n v="64.656990740739275"/>
    <n v="2"/>
    <n v="52.57"/>
    <n v="4"/>
    <n v="2"/>
    <n v="3"/>
    <n v="9"/>
    <x v="2"/>
  </r>
  <r>
    <s v="CUST0053"/>
    <n v="36.656990740739275"/>
    <n v="2"/>
    <n v="13.86"/>
    <n v="5"/>
    <n v="2"/>
    <n v="1"/>
    <n v="8"/>
    <x v="2"/>
  </r>
  <r>
    <s v="CUST0054"/>
    <n v="110.65699074073927"/>
    <n v="2"/>
    <n v="14.21"/>
    <n v="3"/>
    <n v="2"/>
    <n v="1"/>
    <n v="6"/>
    <x v="3"/>
  </r>
  <r>
    <s v="CUST0055"/>
    <n v="126.65699074073927"/>
    <n v="5"/>
    <n v="81.3"/>
    <n v="2"/>
    <n v="5"/>
    <n v="4"/>
    <n v="11"/>
    <x v="1"/>
  </r>
  <r>
    <s v="CUST0056"/>
    <n v="42.656990740739275"/>
    <n v="1"/>
    <n v="10.48"/>
    <n v="4"/>
    <n v="1"/>
    <n v="1"/>
    <n v="6"/>
    <x v="3"/>
  </r>
  <r>
    <s v="CUST0057"/>
    <n v="126.65699074073927"/>
    <n v="1"/>
    <n v="24.63"/>
    <n v="2"/>
    <n v="1"/>
    <n v="1"/>
    <n v="4"/>
    <x v="3"/>
  </r>
  <r>
    <s v="CUST0058"/>
    <n v="152.65699074073927"/>
    <n v="2"/>
    <n v="83.66"/>
    <n v="2"/>
    <n v="2"/>
    <n v="4"/>
    <n v="8"/>
    <x v="2"/>
  </r>
  <r>
    <s v="CUST0059"/>
    <n v="40.656990740739275"/>
    <n v="7"/>
    <n v="99.24"/>
    <n v="5"/>
    <n v="5"/>
    <n v="5"/>
    <n v="15"/>
    <x v="0"/>
  </r>
  <r>
    <s v="CUST0060"/>
    <n v="43.656990740739275"/>
    <n v="4"/>
    <n v="88.919999999999987"/>
    <n v="4"/>
    <n v="4"/>
    <n v="4"/>
    <n v="12"/>
    <x v="1"/>
  </r>
  <r>
    <s v="CUST0061"/>
    <n v="228.65699074073927"/>
    <n v="3"/>
    <n v="46.61"/>
    <n v="1"/>
    <n v="3"/>
    <n v="3"/>
    <n v="7"/>
    <x v="2"/>
  </r>
  <r>
    <s v="CUST0062"/>
    <n v="192.65699074073927"/>
    <n v="3"/>
    <n v="51.039999999999992"/>
    <n v="1"/>
    <n v="3"/>
    <n v="3"/>
    <n v="7"/>
    <x v="2"/>
  </r>
  <r>
    <s v="CUST0063"/>
    <n v="139.65699074073927"/>
    <n v="6"/>
    <n v="96.279999999999987"/>
    <n v="2"/>
    <n v="5"/>
    <n v="5"/>
    <n v="12"/>
    <x v="1"/>
  </r>
  <r>
    <s v="CUST0064"/>
    <n v="35.656990740739275"/>
    <n v="3"/>
    <n v="49.8"/>
    <n v="5"/>
    <n v="3"/>
    <n v="3"/>
    <n v="11"/>
    <x v="1"/>
  </r>
  <r>
    <s v="CUST0065"/>
    <n v="17.656990740739275"/>
    <n v="2"/>
    <n v="23.78"/>
    <n v="5"/>
    <n v="2"/>
    <n v="1"/>
    <n v="8"/>
    <x v="2"/>
  </r>
  <r>
    <s v="CUST0066"/>
    <n v="24.656990740739275"/>
    <n v="2"/>
    <n v="56.19"/>
    <n v="5"/>
    <n v="2"/>
    <n v="3"/>
    <n v="10"/>
    <x v="1"/>
  </r>
  <r>
    <s v="CUST0067"/>
    <n v="269.65699074073927"/>
    <n v="2"/>
    <n v="50.21"/>
    <n v="1"/>
    <n v="2"/>
    <n v="3"/>
    <n v="6"/>
    <x v="3"/>
  </r>
  <r>
    <s v="CUST0068"/>
    <n v="164.65699074073927"/>
    <n v="2"/>
    <n v="40.29"/>
    <n v="2"/>
    <n v="2"/>
    <n v="2"/>
    <n v="6"/>
    <x v="3"/>
  </r>
  <r>
    <s v="CUST0069"/>
    <n v="73.656990740739275"/>
    <n v="5"/>
    <n v="56.240000000000009"/>
    <n v="3"/>
    <n v="5"/>
    <n v="3"/>
    <n v="11"/>
    <x v="1"/>
  </r>
  <r>
    <s v="CUST0071"/>
    <n v="32.656990740739275"/>
    <n v="1"/>
    <n v="13.79"/>
    <n v="5"/>
    <n v="1"/>
    <n v="1"/>
    <n v="7"/>
    <x v="2"/>
  </r>
  <r>
    <s v="CUST0072"/>
    <n v="209.65699074073927"/>
    <n v="5"/>
    <n v="41.33"/>
    <n v="1"/>
    <n v="5"/>
    <n v="2"/>
    <n v="8"/>
    <x v="2"/>
  </r>
  <r>
    <s v="CUST0073"/>
    <n v="190.65699074073927"/>
    <n v="5"/>
    <n v="142.38"/>
    <n v="1"/>
    <n v="5"/>
    <n v="5"/>
    <n v="11"/>
    <x v="1"/>
  </r>
  <r>
    <s v="CUST0074"/>
    <n v="192.65699074073927"/>
    <n v="2"/>
    <n v="20.810000000000002"/>
    <n v="1"/>
    <n v="2"/>
    <n v="1"/>
    <n v="4"/>
    <x v="3"/>
  </r>
  <r>
    <s v="CUST0075"/>
    <n v="151.65699074073927"/>
    <n v="3"/>
    <n v="60.87"/>
    <n v="2"/>
    <n v="3"/>
    <n v="3"/>
    <n v="8"/>
    <x v="2"/>
  </r>
  <r>
    <s v="CUST0076"/>
    <n v="88.656990740739275"/>
    <n v="5"/>
    <n v="75.69"/>
    <n v="3"/>
    <n v="5"/>
    <n v="4"/>
    <n v="12"/>
    <x v="1"/>
  </r>
  <r>
    <s v="CUST0077"/>
    <n v="129.65699074073927"/>
    <n v="4"/>
    <n v="91.19"/>
    <n v="2"/>
    <n v="4"/>
    <n v="5"/>
    <n v="11"/>
    <x v="1"/>
  </r>
  <r>
    <s v="CUST0078"/>
    <n v="23.656990740739275"/>
    <n v="3"/>
    <n v="70.13"/>
    <n v="5"/>
    <n v="3"/>
    <n v="4"/>
    <n v="12"/>
    <x v="1"/>
  </r>
  <r>
    <s v="CUST0079"/>
    <n v="40.656990740739275"/>
    <n v="2"/>
    <n v="38.49"/>
    <n v="5"/>
    <n v="2"/>
    <n v="2"/>
    <n v="9"/>
    <x v="2"/>
  </r>
  <r>
    <s v="CUST0080"/>
    <n v="79.656990740739275"/>
    <n v="3"/>
    <n v="80.930000000000007"/>
    <n v="3"/>
    <n v="3"/>
    <n v="4"/>
    <n v="10"/>
    <x v="1"/>
  </r>
  <r>
    <s v="CUST0081"/>
    <n v="234.65699074073927"/>
    <n v="3"/>
    <n v="52.34"/>
    <n v="1"/>
    <n v="3"/>
    <n v="3"/>
    <n v="7"/>
    <x v="2"/>
  </r>
  <r>
    <s v="CUST0082"/>
    <n v="17.656990740739275"/>
    <n v="5"/>
    <n v="88.89"/>
    <n v="5"/>
    <n v="5"/>
    <n v="4"/>
    <n v="14"/>
    <x v="0"/>
  </r>
  <r>
    <s v="CUST0084"/>
    <n v="51.656990740739275"/>
    <n v="8"/>
    <n v="123.51"/>
    <n v="4"/>
    <n v="5"/>
    <n v="5"/>
    <n v="14"/>
    <x v="0"/>
  </r>
  <r>
    <s v="CUST0085"/>
    <n v="198.65699074073927"/>
    <n v="2"/>
    <n v="41.95"/>
    <n v="1"/>
    <n v="2"/>
    <n v="2"/>
    <n v="5"/>
    <x v="3"/>
  </r>
  <r>
    <s v="CUST0086"/>
    <n v="56.656990740739275"/>
    <n v="4"/>
    <n v="30.27"/>
    <n v="4"/>
    <n v="4"/>
    <n v="2"/>
    <n v="10"/>
    <x v="1"/>
  </r>
  <r>
    <s v="CUST0087"/>
    <n v="162.65699074073927"/>
    <n v="4"/>
    <n v="57.61"/>
    <n v="2"/>
    <n v="4"/>
    <n v="3"/>
    <n v="9"/>
    <x v="2"/>
  </r>
  <r>
    <s v="CUST0088"/>
    <n v="157.65699074073927"/>
    <n v="2"/>
    <n v="21.91"/>
    <n v="2"/>
    <n v="2"/>
    <n v="1"/>
    <n v="5"/>
    <x v="3"/>
  </r>
  <r>
    <s v="CUST0089"/>
    <n v="90.656990740739275"/>
    <n v="6"/>
    <n v="60.04"/>
    <n v="3"/>
    <n v="5"/>
    <n v="3"/>
    <n v="11"/>
    <x v="1"/>
  </r>
  <r>
    <s v="CUST0090"/>
    <n v="30.656990740739275"/>
    <n v="5"/>
    <n v="49.970000000000006"/>
    <n v="5"/>
    <n v="5"/>
    <n v="3"/>
    <n v="13"/>
    <x v="0"/>
  </r>
  <r>
    <s v="CUST0092"/>
    <n v="162.65699074073927"/>
    <n v="5"/>
    <n v="113.27000000000001"/>
    <n v="2"/>
    <n v="5"/>
    <n v="5"/>
    <n v="12"/>
    <x v="1"/>
  </r>
  <r>
    <s v="CUST0093"/>
    <n v="17.656990740739275"/>
    <n v="4"/>
    <n v="64.37"/>
    <n v="5"/>
    <n v="4"/>
    <n v="4"/>
    <n v="13"/>
    <x v="0"/>
  </r>
  <r>
    <s v="CUST0094"/>
    <n v="251.65699074073927"/>
    <n v="1"/>
    <n v="11.82"/>
    <n v="1"/>
    <n v="1"/>
    <n v="1"/>
    <n v="3"/>
    <x v="4"/>
  </r>
  <r>
    <s v="CUST0095"/>
    <n v="65.656990740739275"/>
    <n v="3"/>
    <n v="31.41"/>
    <n v="4"/>
    <n v="3"/>
    <n v="2"/>
    <n v="9"/>
    <x v="2"/>
  </r>
  <r>
    <s v="CUST0096"/>
    <n v="71.656990740739275"/>
    <n v="3"/>
    <n v="95.009999999999991"/>
    <n v="4"/>
    <n v="3"/>
    <n v="5"/>
    <n v="12"/>
    <x v="1"/>
  </r>
  <r>
    <s v="CUST0097"/>
    <n v="191.65699074073927"/>
    <n v="2"/>
    <n v="32.729999999999997"/>
    <n v="1"/>
    <n v="2"/>
    <n v="2"/>
    <n v="5"/>
    <x v="3"/>
  </r>
  <r>
    <s v="CUST0098"/>
    <n v="17.656990740739275"/>
    <n v="6"/>
    <n v="122.55000000000001"/>
    <n v="5"/>
    <n v="5"/>
    <n v="5"/>
    <n v="15"/>
    <x v="0"/>
  </r>
  <r>
    <s v="CUST0099"/>
    <n v="33.656990740739275"/>
    <n v="2"/>
    <n v="58.25"/>
    <n v="5"/>
    <n v="2"/>
    <n v="3"/>
    <n v="10"/>
    <x v="1"/>
  </r>
  <r>
    <s v="CUST0100"/>
    <n v="249.65699074073927"/>
    <n v="2"/>
    <n v="18.39"/>
    <n v="1"/>
    <n v="2"/>
    <n v="1"/>
    <n v="4"/>
    <x v="3"/>
  </r>
  <r>
    <s v="CUST0101"/>
    <n v="191.65699074073927"/>
    <n v="3"/>
    <n v="70.75"/>
    <n v="1"/>
    <n v="3"/>
    <n v="4"/>
    <n v="8"/>
    <x v="2"/>
  </r>
  <r>
    <s v="CUST0102"/>
    <n v="19.656990740739275"/>
    <n v="5"/>
    <n v="108.92"/>
    <n v="5"/>
    <n v="5"/>
    <n v="5"/>
    <n v="15"/>
    <x v="0"/>
  </r>
  <r>
    <s v="CUST0103"/>
    <n v="346.65699074073927"/>
    <n v="2"/>
    <n v="22.2"/>
    <n v="1"/>
    <n v="2"/>
    <n v="1"/>
    <n v="4"/>
    <x v="3"/>
  </r>
  <r>
    <s v="CUST0104"/>
    <n v="36.656990740739275"/>
    <n v="6"/>
    <n v="164.74"/>
    <n v="5"/>
    <n v="5"/>
    <n v="5"/>
    <n v="15"/>
    <x v="0"/>
  </r>
  <r>
    <s v="CUST0105"/>
    <n v="282.65699074073927"/>
    <n v="2"/>
    <n v="19.489999999999998"/>
    <n v="1"/>
    <n v="2"/>
    <n v="1"/>
    <n v="4"/>
    <x v="3"/>
  </r>
  <r>
    <s v="CUST0106"/>
    <n v="52.656990740739275"/>
    <n v="3"/>
    <n v="91.44"/>
    <n v="4"/>
    <n v="3"/>
    <n v="5"/>
    <n v="12"/>
    <x v="1"/>
  </r>
  <r>
    <s v="CUST0107"/>
    <n v="143.65699074073927"/>
    <n v="3"/>
    <n v="29.130000000000003"/>
    <n v="2"/>
    <n v="3"/>
    <n v="2"/>
    <n v="7"/>
    <x v="2"/>
  </r>
  <r>
    <s v="CUST0108"/>
    <n v="97.656990740739275"/>
    <n v="6"/>
    <n v="72.05"/>
    <n v="3"/>
    <n v="5"/>
    <n v="4"/>
    <n v="12"/>
    <x v="1"/>
  </r>
  <r>
    <s v="CUST0109"/>
    <n v="345.65699074073927"/>
    <n v="1"/>
    <n v="8.01"/>
    <n v="1"/>
    <n v="1"/>
    <n v="1"/>
    <n v="3"/>
    <x v="4"/>
  </r>
  <r>
    <s v="CUST0110"/>
    <n v="108.65699074073927"/>
    <n v="2"/>
    <n v="52.1"/>
    <n v="3"/>
    <n v="2"/>
    <n v="3"/>
    <n v="8"/>
    <x v="2"/>
  </r>
  <r>
    <s v="CUST0111"/>
    <n v="22.656990740739275"/>
    <n v="5"/>
    <n v="108.17999999999999"/>
    <n v="5"/>
    <n v="5"/>
    <n v="5"/>
    <n v="15"/>
    <x v="0"/>
  </r>
  <r>
    <s v="CUST0112"/>
    <n v="127.65699074073927"/>
    <n v="1"/>
    <n v="11.81"/>
    <n v="2"/>
    <n v="1"/>
    <n v="1"/>
    <n v="4"/>
    <x v="3"/>
  </r>
  <r>
    <s v="CUST0113"/>
    <n v="64.656990740739275"/>
    <n v="3"/>
    <n v="36.65"/>
    <n v="4"/>
    <n v="3"/>
    <n v="2"/>
    <n v="9"/>
    <x v="2"/>
  </r>
  <r>
    <s v="CUST0114"/>
    <n v="102.65699074073927"/>
    <n v="3"/>
    <n v="57.95"/>
    <n v="3"/>
    <n v="3"/>
    <n v="3"/>
    <n v="9"/>
    <x v="2"/>
  </r>
  <r>
    <s v="CUST0115"/>
    <n v="115.65699074073927"/>
    <n v="3"/>
    <n v="52.660000000000004"/>
    <n v="3"/>
    <n v="3"/>
    <n v="3"/>
    <n v="9"/>
    <x v="2"/>
  </r>
  <r>
    <s v="CUST0116"/>
    <n v="149.65699074073927"/>
    <n v="1"/>
    <n v="4.38"/>
    <n v="2"/>
    <n v="1"/>
    <n v="1"/>
    <n v="4"/>
    <x v="3"/>
  </r>
  <r>
    <s v="CUST0117"/>
    <n v="31.656990740739275"/>
    <n v="7"/>
    <n v="150.87"/>
    <n v="5"/>
    <n v="5"/>
    <n v="5"/>
    <n v="15"/>
    <x v="0"/>
  </r>
  <r>
    <s v="CUST0118"/>
    <n v="98.656990740739275"/>
    <n v="4"/>
    <n v="46.040000000000006"/>
    <n v="3"/>
    <n v="4"/>
    <n v="2"/>
    <n v="9"/>
    <x v="2"/>
  </r>
  <r>
    <s v="CUST0119"/>
    <n v="70.656990740739275"/>
    <n v="5"/>
    <n v="106.08"/>
    <n v="4"/>
    <n v="5"/>
    <n v="5"/>
    <n v="14"/>
    <x v="0"/>
  </r>
  <r>
    <s v="CUST0120"/>
    <n v="40.656990740739275"/>
    <n v="5"/>
    <n v="88.56"/>
    <n v="5"/>
    <n v="5"/>
    <n v="4"/>
    <n v="14"/>
    <x v="0"/>
  </r>
  <r>
    <s v="CUST0121"/>
    <n v="133.65699074073927"/>
    <n v="2"/>
    <n v="44.730000000000004"/>
    <n v="2"/>
    <n v="2"/>
    <n v="2"/>
    <n v="6"/>
    <x v="3"/>
  </r>
  <r>
    <s v="CUST0122"/>
    <n v="72.656990740739275"/>
    <n v="3"/>
    <n v="45.870000000000005"/>
    <n v="3"/>
    <n v="3"/>
    <n v="2"/>
    <n v="8"/>
    <x v="2"/>
  </r>
  <r>
    <s v="CUST0123"/>
    <n v="78.656990740739275"/>
    <n v="3"/>
    <n v="59.820000000000007"/>
    <n v="3"/>
    <n v="3"/>
    <n v="3"/>
    <n v="9"/>
    <x v="2"/>
  </r>
  <r>
    <s v="CUST0124"/>
    <n v="202.65699074073927"/>
    <n v="2"/>
    <n v="27.5"/>
    <n v="1"/>
    <n v="2"/>
    <n v="2"/>
    <n v="5"/>
    <x v="3"/>
  </r>
  <r>
    <s v="CUST0125"/>
    <n v="215.65699074073927"/>
    <n v="3"/>
    <n v="41.379999999999995"/>
    <n v="1"/>
    <n v="3"/>
    <n v="2"/>
    <n v="6"/>
    <x v="3"/>
  </r>
  <r>
    <s v="CUST0126"/>
    <n v="198.65699074073927"/>
    <n v="2"/>
    <n v="20.420000000000002"/>
    <n v="1"/>
    <n v="2"/>
    <n v="1"/>
    <n v="4"/>
    <x v="3"/>
  </r>
  <r>
    <s v="CUST0127"/>
    <n v="154.65699074073927"/>
    <n v="2"/>
    <n v="23.58"/>
    <n v="2"/>
    <n v="2"/>
    <n v="1"/>
    <n v="5"/>
    <x v="3"/>
  </r>
  <r>
    <s v="CUST0128"/>
    <n v="44.656990740739275"/>
    <n v="3"/>
    <n v="53.66"/>
    <n v="4"/>
    <n v="3"/>
    <n v="3"/>
    <n v="10"/>
    <x v="1"/>
  </r>
  <r>
    <s v="CUST0129"/>
    <n v="162.65699074073927"/>
    <n v="3"/>
    <n v="46.099999999999994"/>
    <n v="2"/>
    <n v="3"/>
    <n v="2"/>
    <n v="7"/>
    <x v="2"/>
  </r>
  <r>
    <s v="CUST0130"/>
    <n v="167.65699074073927"/>
    <n v="6"/>
    <n v="70.78"/>
    <n v="2"/>
    <n v="5"/>
    <n v="4"/>
    <n v="11"/>
    <x v="1"/>
  </r>
  <r>
    <s v="CUST0131"/>
    <n v="28.656990740739275"/>
    <n v="5"/>
    <n v="131.69"/>
    <n v="5"/>
    <n v="5"/>
    <n v="5"/>
    <n v="15"/>
    <x v="0"/>
  </r>
  <r>
    <s v="CUST0132"/>
    <n v="93.656990740739275"/>
    <n v="4"/>
    <n v="65.009999999999991"/>
    <n v="3"/>
    <n v="4"/>
    <n v="4"/>
    <n v="11"/>
    <x v="1"/>
  </r>
  <r>
    <s v="CUST0133"/>
    <n v="54.656990740739275"/>
    <n v="4"/>
    <n v="57.97"/>
    <n v="4"/>
    <n v="4"/>
    <n v="3"/>
    <n v="11"/>
    <x v="1"/>
  </r>
  <r>
    <s v="CUST0134"/>
    <n v="118.65699074073927"/>
    <n v="4"/>
    <n v="53.77"/>
    <n v="3"/>
    <n v="4"/>
    <n v="3"/>
    <n v="10"/>
    <x v="1"/>
  </r>
  <r>
    <s v="CUST0136"/>
    <n v="44.656990740739275"/>
    <n v="3"/>
    <n v="52.02"/>
    <n v="4"/>
    <n v="3"/>
    <n v="3"/>
    <n v="10"/>
    <x v="1"/>
  </r>
  <r>
    <s v="CUST0137"/>
    <n v="23.656990740739275"/>
    <n v="4"/>
    <n v="34.400000000000006"/>
    <n v="5"/>
    <n v="4"/>
    <n v="2"/>
    <n v="11"/>
    <x v="1"/>
  </r>
  <r>
    <s v="CUST0138"/>
    <n v="193.65699074073927"/>
    <n v="1"/>
    <n v="15.44"/>
    <n v="1"/>
    <n v="1"/>
    <n v="1"/>
    <n v="3"/>
    <x v="4"/>
  </r>
  <r>
    <s v="CUST0140"/>
    <n v="224.65699074073927"/>
    <n v="1"/>
    <n v="27.37"/>
    <n v="1"/>
    <n v="1"/>
    <n v="2"/>
    <n v="4"/>
    <x v="3"/>
  </r>
  <r>
    <s v="CUST0141"/>
    <n v="51.656990740739275"/>
    <n v="5"/>
    <n v="35.08"/>
    <n v="4"/>
    <n v="5"/>
    <n v="2"/>
    <n v="11"/>
    <x v="1"/>
  </r>
  <r>
    <s v="CUST0142"/>
    <n v="27.656990740739275"/>
    <n v="2"/>
    <n v="40.78"/>
    <n v="5"/>
    <n v="2"/>
    <n v="2"/>
    <n v="9"/>
    <x v="2"/>
  </r>
  <r>
    <s v="CUST0143"/>
    <n v="66.656990740739275"/>
    <n v="6"/>
    <n v="170.41"/>
    <n v="4"/>
    <n v="5"/>
    <n v="5"/>
    <n v="14"/>
    <x v="0"/>
  </r>
  <r>
    <s v="CUST0144"/>
    <n v="100.65699074073927"/>
    <n v="2"/>
    <n v="16.04"/>
    <n v="3"/>
    <n v="2"/>
    <n v="1"/>
    <n v="6"/>
    <x v="3"/>
  </r>
  <r>
    <s v="CUST0145"/>
    <n v="140.65699074073927"/>
    <n v="5"/>
    <n v="85.98"/>
    <n v="2"/>
    <n v="5"/>
    <n v="4"/>
    <n v="11"/>
    <x v="1"/>
  </r>
  <r>
    <s v="CUST0146"/>
    <n v="67.656990740739275"/>
    <n v="4"/>
    <n v="64.989999999999995"/>
    <n v="4"/>
    <n v="4"/>
    <n v="4"/>
    <n v="12"/>
    <x v="1"/>
  </r>
  <r>
    <s v="CUST0147"/>
    <n v="114.65699074073927"/>
    <n v="5"/>
    <n v="98.47999999999999"/>
    <n v="3"/>
    <n v="5"/>
    <n v="5"/>
    <n v="13"/>
    <x v="0"/>
  </r>
  <r>
    <s v="CUST0148"/>
    <n v="38.656990740739275"/>
    <n v="5"/>
    <n v="90.62"/>
    <n v="5"/>
    <n v="5"/>
    <n v="5"/>
    <n v="15"/>
    <x v="0"/>
  </r>
  <r>
    <s v="CUST0149"/>
    <n v="62.656990740739275"/>
    <n v="4"/>
    <n v="61.65"/>
    <n v="4"/>
    <n v="4"/>
    <n v="4"/>
    <n v="12"/>
    <x v="1"/>
  </r>
  <r>
    <s v="CUST0150"/>
    <n v="263.65699074073927"/>
    <n v="3"/>
    <n v="90.490000000000009"/>
    <n v="1"/>
    <n v="3"/>
    <n v="5"/>
    <n v="9"/>
    <x v="2"/>
  </r>
  <r>
    <s v="CUST0151"/>
    <n v="179.65699074073927"/>
    <n v="2"/>
    <n v="21.74"/>
    <n v="2"/>
    <n v="2"/>
    <n v="1"/>
    <n v="5"/>
    <x v="3"/>
  </r>
  <r>
    <s v="CUST0152"/>
    <n v="99.656990740739275"/>
    <n v="6"/>
    <n v="92.440000000000012"/>
    <n v="3"/>
    <n v="5"/>
    <n v="5"/>
    <n v="13"/>
    <x v="0"/>
  </r>
  <r>
    <s v="CUST0153"/>
    <n v="107.65699074073927"/>
    <n v="6"/>
    <n v="92.68"/>
    <n v="3"/>
    <n v="5"/>
    <n v="5"/>
    <n v="13"/>
    <x v="0"/>
  </r>
  <r>
    <s v="CUST0154"/>
    <n v="77.656990740739275"/>
    <n v="7"/>
    <n v="88.160000000000011"/>
    <n v="3"/>
    <n v="5"/>
    <n v="4"/>
    <n v="12"/>
    <x v="1"/>
  </r>
  <r>
    <s v="CUST0155"/>
    <n v="129.65699074073927"/>
    <n v="2"/>
    <n v="33.090000000000003"/>
    <n v="2"/>
    <n v="2"/>
    <n v="2"/>
    <n v="6"/>
    <x v="3"/>
  </r>
  <r>
    <s v="CUST0156"/>
    <n v="281.65699074073927"/>
    <n v="3"/>
    <n v="72.319999999999993"/>
    <n v="1"/>
    <n v="3"/>
    <n v="4"/>
    <n v="8"/>
    <x v="2"/>
  </r>
  <r>
    <s v="CUST0157"/>
    <n v="65.656990740739275"/>
    <n v="7"/>
    <n v="132.82999999999998"/>
    <n v="4"/>
    <n v="5"/>
    <n v="5"/>
    <n v="14"/>
    <x v="0"/>
  </r>
  <r>
    <s v="CUST0158"/>
    <n v="71.656990740739275"/>
    <n v="5"/>
    <n v="77.510000000000005"/>
    <n v="4"/>
    <n v="5"/>
    <n v="4"/>
    <n v="13"/>
    <x v="0"/>
  </r>
  <r>
    <s v="CUST0159"/>
    <n v="61.656990740739275"/>
    <n v="5"/>
    <n v="85.34"/>
    <n v="4"/>
    <n v="5"/>
    <n v="4"/>
    <n v="13"/>
    <x v="0"/>
  </r>
  <r>
    <s v="CUST0160"/>
    <n v="26.656990740739275"/>
    <n v="4"/>
    <n v="59.02"/>
    <n v="5"/>
    <n v="4"/>
    <n v="3"/>
    <n v="12"/>
    <x v="1"/>
  </r>
  <r>
    <s v="CUST0161"/>
    <n v="33.656990740739275"/>
    <n v="8"/>
    <n v="103.61000000000001"/>
    <n v="5"/>
    <n v="5"/>
    <n v="5"/>
    <n v="15"/>
    <x v="0"/>
  </r>
  <r>
    <s v="CUST0162"/>
    <n v="149.65699074073927"/>
    <n v="2"/>
    <n v="14.67"/>
    <n v="2"/>
    <n v="2"/>
    <n v="1"/>
    <n v="5"/>
    <x v="3"/>
  </r>
  <r>
    <s v="CUST0163"/>
    <n v="231.65699074073927"/>
    <n v="3"/>
    <n v="29.840000000000003"/>
    <n v="1"/>
    <n v="3"/>
    <n v="2"/>
    <n v="6"/>
    <x v="3"/>
  </r>
  <r>
    <s v="CUST0164"/>
    <n v="117.65699074073927"/>
    <n v="4"/>
    <n v="52.29"/>
    <n v="3"/>
    <n v="4"/>
    <n v="3"/>
    <n v="10"/>
    <x v="1"/>
  </r>
  <r>
    <s v="CUST0165"/>
    <n v="135.65699074073927"/>
    <n v="4"/>
    <n v="85.34"/>
    <n v="2"/>
    <n v="4"/>
    <n v="4"/>
    <n v="10"/>
    <x v="1"/>
  </r>
  <r>
    <s v="CUST0166"/>
    <n v="21.656990740739275"/>
    <n v="4"/>
    <n v="137.26"/>
    <n v="5"/>
    <n v="4"/>
    <n v="5"/>
    <n v="14"/>
    <x v="0"/>
  </r>
  <r>
    <s v="CUST0167"/>
    <n v="264.65699074073927"/>
    <n v="1"/>
    <n v="10.17"/>
    <n v="1"/>
    <n v="1"/>
    <n v="1"/>
    <n v="3"/>
    <x v="4"/>
  </r>
  <r>
    <s v="CUST0168"/>
    <n v="59.656990740739275"/>
    <n v="3"/>
    <n v="58.050000000000004"/>
    <n v="4"/>
    <n v="3"/>
    <n v="3"/>
    <n v="10"/>
    <x v="1"/>
  </r>
  <r>
    <s v="CUST0169"/>
    <n v="339.65699074073927"/>
    <n v="2"/>
    <n v="53.61"/>
    <n v="1"/>
    <n v="2"/>
    <n v="3"/>
    <n v="6"/>
    <x v="3"/>
  </r>
  <r>
    <s v="CUST0170"/>
    <n v="47.656990740739275"/>
    <n v="4"/>
    <n v="62.59"/>
    <n v="4"/>
    <n v="4"/>
    <n v="4"/>
    <n v="12"/>
    <x v="1"/>
  </r>
  <r>
    <s v="CUST0171"/>
    <n v="94.656990740739275"/>
    <n v="3"/>
    <n v="37.590000000000003"/>
    <n v="3"/>
    <n v="3"/>
    <n v="2"/>
    <n v="8"/>
    <x v="2"/>
  </r>
  <r>
    <s v="CUST0172"/>
    <n v="71.656990740739275"/>
    <n v="3"/>
    <n v="61.62"/>
    <n v="4"/>
    <n v="3"/>
    <n v="4"/>
    <n v="11"/>
    <x v="1"/>
  </r>
  <r>
    <s v="CUST0173"/>
    <n v="44.656990740739275"/>
    <n v="4"/>
    <n v="52.510000000000005"/>
    <n v="4"/>
    <n v="4"/>
    <n v="3"/>
    <n v="11"/>
    <x v="1"/>
  </r>
  <r>
    <s v="CUST0174"/>
    <n v="55.656990740739275"/>
    <n v="2"/>
    <n v="55.1"/>
    <n v="4"/>
    <n v="2"/>
    <n v="3"/>
    <n v="9"/>
    <x v="2"/>
  </r>
  <r>
    <s v="CUST0175"/>
    <n v="47.656990740739275"/>
    <n v="6"/>
    <n v="86.22"/>
    <n v="4"/>
    <n v="5"/>
    <n v="4"/>
    <n v="13"/>
    <x v="0"/>
  </r>
  <r>
    <s v="CUST0176"/>
    <n v="57.656990740739275"/>
    <n v="4"/>
    <n v="107.85"/>
    <n v="4"/>
    <n v="4"/>
    <n v="5"/>
    <n v="13"/>
    <x v="0"/>
  </r>
  <r>
    <s v="CUST0177"/>
    <n v="32.656990740739275"/>
    <n v="5"/>
    <n v="122.91"/>
    <n v="5"/>
    <n v="5"/>
    <n v="5"/>
    <n v="15"/>
    <x v="0"/>
  </r>
  <r>
    <s v="CUST0178"/>
    <n v="111.65699074073927"/>
    <n v="5"/>
    <n v="114.12"/>
    <n v="3"/>
    <n v="5"/>
    <n v="5"/>
    <n v="13"/>
    <x v="0"/>
  </r>
  <r>
    <s v="CUST0179"/>
    <n v="53.656990740739275"/>
    <n v="5"/>
    <n v="55.540000000000006"/>
    <n v="4"/>
    <n v="5"/>
    <n v="3"/>
    <n v="12"/>
    <x v="1"/>
  </r>
  <r>
    <s v="CUST0180"/>
    <n v="346.65699074073927"/>
    <n v="1"/>
    <n v="12.12"/>
    <n v="1"/>
    <n v="1"/>
    <n v="1"/>
    <n v="3"/>
    <x v="4"/>
  </r>
  <r>
    <s v="CUST0181"/>
    <n v="199.65699074073927"/>
    <n v="4"/>
    <n v="34.24"/>
    <n v="1"/>
    <n v="4"/>
    <n v="2"/>
    <n v="7"/>
    <x v="2"/>
  </r>
  <r>
    <s v="CUST0182"/>
    <n v="125.65699074073927"/>
    <n v="3"/>
    <n v="33.46"/>
    <n v="2"/>
    <n v="3"/>
    <n v="2"/>
    <n v="7"/>
    <x v="2"/>
  </r>
  <r>
    <s v="CUST0183"/>
    <n v="96.656990740739275"/>
    <n v="2"/>
    <n v="76.81"/>
    <n v="3"/>
    <n v="2"/>
    <n v="4"/>
    <n v="9"/>
    <x v="2"/>
  </r>
  <r>
    <s v="CUST0184"/>
    <n v="169.65699074073927"/>
    <n v="2"/>
    <n v="9.69"/>
    <n v="2"/>
    <n v="2"/>
    <n v="1"/>
    <n v="5"/>
    <x v="3"/>
  </r>
  <r>
    <s v="CUST0185"/>
    <n v="30.656990740739275"/>
    <n v="2"/>
    <n v="32.299999999999997"/>
    <n v="5"/>
    <n v="2"/>
    <n v="2"/>
    <n v="9"/>
    <x v="2"/>
  </r>
  <r>
    <s v="CUST0186"/>
    <n v="217.65699074073927"/>
    <n v="2"/>
    <n v="17.36"/>
    <n v="1"/>
    <n v="2"/>
    <n v="1"/>
    <n v="4"/>
    <x v="3"/>
  </r>
  <r>
    <s v="CUST0187"/>
    <n v="144.65699074073927"/>
    <n v="2"/>
    <n v="33.97"/>
    <n v="2"/>
    <n v="2"/>
    <n v="2"/>
    <n v="6"/>
    <x v="3"/>
  </r>
  <r>
    <s v="CUST0188"/>
    <n v="57.656990740739275"/>
    <n v="5"/>
    <n v="60.47"/>
    <n v="4"/>
    <n v="5"/>
    <n v="3"/>
    <n v="12"/>
    <x v="1"/>
  </r>
  <r>
    <s v="CUST0189"/>
    <n v="274.65699074073927"/>
    <n v="1"/>
    <n v="17.079999999999998"/>
    <n v="1"/>
    <n v="1"/>
    <n v="1"/>
    <n v="3"/>
    <x v="4"/>
  </r>
  <r>
    <s v="CUST0190"/>
    <n v="188.65699074073927"/>
    <n v="1"/>
    <n v="33.44"/>
    <n v="2"/>
    <n v="1"/>
    <n v="2"/>
    <n v="5"/>
    <x v="3"/>
  </r>
  <r>
    <s v="CUST0191"/>
    <n v="80.656990740739275"/>
    <n v="1"/>
    <n v="16.14"/>
    <n v="3"/>
    <n v="1"/>
    <n v="1"/>
    <n v="5"/>
    <x v="3"/>
  </r>
  <r>
    <s v="CUST0192"/>
    <n v="63.656990740739275"/>
    <n v="3"/>
    <n v="33.65"/>
    <n v="4"/>
    <n v="3"/>
    <n v="2"/>
    <n v="9"/>
    <x v="2"/>
  </r>
  <r>
    <s v="CUST0193"/>
    <n v="149.65699074073927"/>
    <n v="4"/>
    <n v="58.100000000000009"/>
    <n v="2"/>
    <n v="4"/>
    <n v="3"/>
    <n v="9"/>
    <x v="2"/>
  </r>
  <r>
    <s v="CUST0194"/>
    <n v="239.65699074073927"/>
    <n v="2"/>
    <n v="19.810000000000002"/>
    <n v="1"/>
    <n v="2"/>
    <n v="1"/>
    <n v="4"/>
    <x v="3"/>
  </r>
  <r>
    <s v="CUST0195"/>
    <n v="25.656990740739275"/>
    <n v="4"/>
    <n v="52.35"/>
    <n v="5"/>
    <n v="4"/>
    <n v="3"/>
    <n v="12"/>
    <x v="1"/>
  </r>
  <r>
    <s v="CUST0196"/>
    <n v="165.65699074073927"/>
    <n v="2"/>
    <n v="23.36"/>
    <n v="2"/>
    <n v="2"/>
    <n v="1"/>
    <n v="5"/>
    <x v="3"/>
  </r>
  <r>
    <s v="CUST0197"/>
    <n v="142.65699074073927"/>
    <n v="1"/>
    <n v="4.26"/>
    <n v="2"/>
    <n v="1"/>
    <n v="1"/>
    <n v="4"/>
    <x v="3"/>
  </r>
  <r>
    <s v="CUST0198"/>
    <n v="59.656990740739275"/>
    <n v="5"/>
    <n v="61.879999999999995"/>
    <n v="4"/>
    <n v="5"/>
    <n v="4"/>
    <n v="13"/>
    <x v="0"/>
  </r>
  <r>
    <s v="CUST0199"/>
    <n v="70.656990740739275"/>
    <n v="4"/>
    <n v="41.640000000000008"/>
    <n v="4"/>
    <n v="4"/>
    <n v="2"/>
    <n v="10"/>
    <x v="1"/>
  </r>
  <r>
    <s v="CUST0200"/>
    <n v="22.656990740739275"/>
    <n v="2"/>
    <n v="45.68"/>
    <n v="5"/>
    <n v="2"/>
    <n v="2"/>
    <n v="9"/>
    <x v="2"/>
  </r>
  <r>
    <s v="CUST0201"/>
    <n v="36.656990740739275"/>
    <n v="3"/>
    <n v="26.67"/>
    <n v="5"/>
    <n v="3"/>
    <n v="1"/>
    <n v="9"/>
    <x v="2"/>
  </r>
  <r>
    <s v="CUST0202"/>
    <n v="30.656990740739275"/>
    <n v="5"/>
    <n v="85.24"/>
    <n v="5"/>
    <n v="5"/>
    <n v="4"/>
    <n v="14"/>
    <x v="0"/>
  </r>
  <r>
    <s v="CUST0203"/>
    <n v="273.65699074073927"/>
    <n v="1"/>
    <n v="8.8000000000000007"/>
    <n v="1"/>
    <n v="1"/>
    <n v="1"/>
    <n v="3"/>
    <x v="4"/>
  </r>
  <r>
    <s v="CUST0204"/>
    <n v="34.656990740739275"/>
    <n v="3"/>
    <n v="20.82"/>
    <n v="5"/>
    <n v="3"/>
    <n v="1"/>
    <n v="9"/>
    <x v="2"/>
  </r>
  <r>
    <s v="CUST0205"/>
    <n v="140.65699074073927"/>
    <n v="1"/>
    <n v="5.19"/>
    <n v="2"/>
    <n v="1"/>
    <n v="1"/>
    <n v="4"/>
    <x v="3"/>
  </r>
  <r>
    <s v="CUST0206"/>
    <n v="200.65699074073927"/>
    <n v="3"/>
    <n v="63.080000000000005"/>
    <n v="1"/>
    <n v="3"/>
    <n v="4"/>
    <n v="8"/>
    <x v="2"/>
  </r>
  <r>
    <s v="CUST0207"/>
    <n v="41.656990740739275"/>
    <n v="2"/>
    <n v="22.57"/>
    <n v="4"/>
    <n v="2"/>
    <n v="1"/>
    <n v="7"/>
    <x v="2"/>
  </r>
  <r>
    <s v="CUST0208"/>
    <n v="162.65699074073927"/>
    <n v="3"/>
    <n v="61.43"/>
    <n v="2"/>
    <n v="3"/>
    <n v="4"/>
    <n v="9"/>
    <x v="2"/>
  </r>
  <r>
    <s v="CUST0209"/>
    <n v="162.65699074073927"/>
    <n v="3"/>
    <n v="41"/>
    <n v="2"/>
    <n v="3"/>
    <n v="2"/>
    <n v="7"/>
    <x v="2"/>
  </r>
  <r>
    <s v="CUST0210"/>
    <n v="195.65699074073927"/>
    <n v="4"/>
    <n v="47.959999999999994"/>
    <n v="1"/>
    <n v="4"/>
    <n v="3"/>
    <n v="8"/>
    <x v="2"/>
  </r>
  <r>
    <s v="CUST0211"/>
    <n v="34.656990740739275"/>
    <n v="2"/>
    <n v="21.21"/>
    <n v="5"/>
    <n v="2"/>
    <n v="1"/>
    <n v="8"/>
    <x v="2"/>
  </r>
  <r>
    <s v="CUST0213"/>
    <n v="17.656990740739275"/>
    <n v="3"/>
    <n v="40.739999999999995"/>
    <n v="5"/>
    <n v="3"/>
    <n v="2"/>
    <n v="10"/>
    <x v="1"/>
  </r>
  <r>
    <s v="CUST0214"/>
    <n v="153.65699074073927"/>
    <n v="4"/>
    <n v="29.38"/>
    <n v="2"/>
    <n v="4"/>
    <n v="2"/>
    <n v="8"/>
    <x v="2"/>
  </r>
  <r>
    <s v="CUST0215"/>
    <n v="190.65699074073927"/>
    <n v="6"/>
    <n v="123.08"/>
    <n v="1"/>
    <n v="5"/>
    <n v="5"/>
    <n v="11"/>
    <x v="1"/>
  </r>
  <r>
    <s v="CUST0216"/>
    <n v="86.656990740739275"/>
    <n v="5"/>
    <n v="158.79999999999998"/>
    <n v="3"/>
    <n v="5"/>
    <n v="5"/>
    <n v="13"/>
    <x v="0"/>
  </r>
  <r>
    <s v="CUST0217"/>
    <n v="101.65699074073927"/>
    <n v="3"/>
    <n v="33.950000000000003"/>
    <n v="3"/>
    <n v="3"/>
    <n v="2"/>
    <n v="8"/>
    <x v="2"/>
  </r>
  <r>
    <s v="CUST0218"/>
    <n v="36.656990740739275"/>
    <n v="3"/>
    <n v="59.46"/>
    <n v="5"/>
    <n v="3"/>
    <n v="3"/>
    <n v="11"/>
    <x v="1"/>
  </r>
  <r>
    <s v="CUST0219"/>
    <n v="21.656990740739275"/>
    <n v="2"/>
    <n v="47.76"/>
    <n v="5"/>
    <n v="2"/>
    <n v="3"/>
    <n v="10"/>
    <x v="1"/>
  </r>
  <r>
    <s v="CUST0220"/>
    <n v="99.656990740739275"/>
    <n v="3"/>
    <n v="73.260000000000005"/>
    <n v="3"/>
    <n v="3"/>
    <n v="4"/>
    <n v="10"/>
    <x v="1"/>
  </r>
  <r>
    <s v="CUST0221"/>
    <n v="354.65699074073927"/>
    <n v="2"/>
    <n v="30.95"/>
    <n v="1"/>
    <n v="2"/>
    <n v="2"/>
    <n v="5"/>
    <x v="3"/>
  </r>
  <r>
    <s v="CUST0222"/>
    <n v="18.656990740739275"/>
    <n v="4"/>
    <n v="30.69"/>
    <n v="5"/>
    <n v="4"/>
    <n v="2"/>
    <n v="11"/>
    <x v="1"/>
  </r>
  <r>
    <s v="CUST0223"/>
    <n v="69.656990740739275"/>
    <n v="5"/>
    <n v="61.239999999999995"/>
    <n v="4"/>
    <n v="5"/>
    <n v="4"/>
    <n v="13"/>
    <x v="0"/>
  </r>
  <r>
    <s v="CUST0224"/>
    <n v="22.656990740739275"/>
    <n v="6"/>
    <n v="116.16"/>
    <n v="5"/>
    <n v="5"/>
    <n v="5"/>
    <n v="15"/>
    <x v="0"/>
  </r>
  <r>
    <s v="CUST0225"/>
    <n v="117.65699074073927"/>
    <n v="3"/>
    <n v="24.72"/>
    <n v="3"/>
    <n v="3"/>
    <n v="1"/>
    <n v="7"/>
    <x v="2"/>
  </r>
  <r>
    <s v="CUST0226"/>
    <n v="36.656990740739275"/>
    <n v="7"/>
    <n v="108.13000000000001"/>
    <n v="5"/>
    <n v="5"/>
    <n v="5"/>
    <n v="15"/>
    <x v="0"/>
  </r>
  <r>
    <s v="CUST0227"/>
    <n v="78.656990740739275"/>
    <n v="6"/>
    <n v="126.89"/>
    <n v="3"/>
    <n v="5"/>
    <n v="5"/>
    <n v="13"/>
    <x v="0"/>
  </r>
  <r>
    <s v="CUST0228"/>
    <n v="82.656990740739275"/>
    <n v="4"/>
    <n v="37.58"/>
    <n v="3"/>
    <n v="4"/>
    <n v="2"/>
    <n v="9"/>
    <x v="2"/>
  </r>
  <r>
    <s v="CUST0229"/>
    <n v="80.656990740739275"/>
    <n v="4"/>
    <n v="70.73"/>
    <n v="3"/>
    <n v="4"/>
    <n v="4"/>
    <n v="11"/>
    <x v="1"/>
  </r>
  <r>
    <s v="CUST0231"/>
    <n v="76.656990740739275"/>
    <n v="3"/>
    <n v="55.25"/>
    <n v="3"/>
    <n v="3"/>
    <n v="3"/>
    <n v="9"/>
    <x v="2"/>
  </r>
  <r>
    <s v="CUST0232"/>
    <n v="81.656990740739275"/>
    <n v="2"/>
    <n v="9.9400000000000013"/>
    <n v="3"/>
    <n v="2"/>
    <n v="1"/>
    <n v="6"/>
    <x v="3"/>
  </r>
  <r>
    <s v="CUST0233"/>
    <n v="158.65699074073927"/>
    <n v="3"/>
    <n v="61.039999999999992"/>
    <n v="2"/>
    <n v="3"/>
    <n v="3"/>
    <n v="8"/>
    <x v="2"/>
  </r>
  <r>
    <s v="CUST0234"/>
    <n v="105.65699074073927"/>
    <n v="2"/>
    <n v="22.16"/>
    <n v="3"/>
    <n v="2"/>
    <n v="1"/>
    <n v="6"/>
    <x v="3"/>
  </r>
  <r>
    <s v="CUST0235"/>
    <n v="45.656990740739275"/>
    <n v="2"/>
    <n v="54.569999999999993"/>
    <n v="4"/>
    <n v="2"/>
    <n v="3"/>
    <n v="9"/>
    <x v="2"/>
  </r>
  <r>
    <s v="CUST0236"/>
    <n v="51.656990740739275"/>
    <n v="5"/>
    <n v="70.13"/>
    <n v="4"/>
    <n v="5"/>
    <n v="4"/>
    <n v="13"/>
    <x v="0"/>
  </r>
  <r>
    <s v="CUST0237"/>
    <n v="18.656990740739275"/>
    <n v="5"/>
    <n v="92.73"/>
    <n v="5"/>
    <n v="5"/>
    <n v="5"/>
    <n v="15"/>
    <x v="0"/>
  </r>
  <r>
    <s v="CUST0238"/>
    <n v="185.65699074073927"/>
    <n v="1"/>
    <n v="34.880000000000003"/>
    <n v="2"/>
    <n v="1"/>
    <n v="2"/>
    <n v="5"/>
    <x v="3"/>
  </r>
  <r>
    <s v="CUST0239"/>
    <n v="98.656990740739275"/>
    <n v="4"/>
    <n v="85.9"/>
    <n v="3"/>
    <n v="4"/>
    <n v="4"/>
    <n v="11"/>
    <x v="1"/>
  </r>
  <r>
    <s v="CUST0240"/>
    <n v="34.656990740739275"/>
    <n v="1"/>
    <n v="12.43"/>
    <n v="5"/>
    <n v="1"/>
    <n v="1"/>
    <n v="7"/>
    <x v="2"/>
  </r>
  <r>
    <s v="CUST0241"/>
    <n v="51.656990740739275"/>
    <n v="3"/>
    <n v="51.7"/>
    <n v="4"/>
    <n v="3"/>
    <n v="3"/>
    <n v="10"/>
    <x v="1"/>
  </r>
  <r>
    <s v="CUST0242"/>
    <n v="27.656990740739275"/>
    <n v="4"/>
    <n v="97.14"/>
    <n v="5"/>
    <n v="4"/>
    <n v="5"/>
    <n v="14"/>
    <x v="0"/>
  </r>
  <r>
    <s v="CUST0243"/>
    <n v="143.65699074073927"/>
    <n v="5"/>
    <n v="101.22"/>
    <n v="2"/>
    <n v="5"/>
    <n v="5"/>
    <n v="12"/>
    <x v="1"/>
  </r>
  <r>
    <s v="CUST0244"/>
    <n v="203.65699074073927"/>
    <n v="2"/>
    <n v="33.430000000000007"/>
    <n v="1"/>
    <n v="2"/>
    <n v="2"/>
    <n v="5"/>
    <x v="3"/>
  </r>
  <r>
    <s v="CUST0245"/>
    <n v="27.656990740739275"/>
    <n v="3"/>
    <n v="70.489999999999995"/>
    <n v="5"/>
    <n v="3"/>
    <n v="4"/>
    <n v="12"/>
    <x v="1"/>
  </r>
  <r>
    <s v="CUST0246"/>
    <n v="180.65699074073927"/>
    <n v="3"/>
    <n v="37.870000000000005"/>
    <n v="2"/>
    <n v="3"/>
    <n v="2"/>
    <n v="7"/>
    <x v="2"/>
  </r>
  <r>
    <s v="CUST0247"/>
    <n v="77.656990740739275"/>
    <n v="2"/>
    <n v="11.96"/>
    <n v="3"/>
    <n v="2"/>
    <n v="1"/>
    <n v="6"/>
    <x v="3"/>
  </r>
  <r>
    <s v="CUST0249"/>
    <n v="118.65699074073927"/>
    <n v="2"/>
    <n v="49.29"/>
    <n v="3"/>
    <n v="2"/>
    <n v="3"/>
    <n v="8"/>
    <x v="2"/>
  </r>
  <r>
    <s v="CUST0250"/>
    <n v="96.656990740739275"/>
    <n v="3"/>
    <n v="47.45"/>
    <n v="3"/>
    <n v="3"/>
    <n v="3"/>
    <n v="9"/>
    <x v="2"/>
  </r>
  <r>
    <s v="CUST0251"/>
    <n v="40.656990740739275"/>
    <n v="7"/>
    <n v="123.67"/>
    <n v="5"/>
    <n v="5"/>
    <n v="5"/>
    <n v="15"/>
    <x v="0"/>
  </r>
  <r>
    <s v="CUST0254"/>
    <n v="246.65699074073927"/>
    <n v="2"/>
    <n v="21.060000000000002"/>
    <n v="1"/>
    <n v="2"/>
    <n v="1"/>
    <n v="4"/>
    <x v="3"/>
  </r>
  <r>
    <s v="CUST0255"/>
    <n v="269.65699074073927"/>
    <n v="1"/>
    <n v="11.89"/>
    <n v="1"/>
    <n v="1"/>
    <n v="1"/>
    <n v="3"/>
    <x v="4"/>
  </r>
  <r>
    <s v="CUST0256"/>
    <n v="123.65699074073927"/>
    <n v="1"/>
    <n v="4.12"/>
    <n v="2"/>
    <n v="1"/>
    <n v="1"/>
    <n v="4"/>
    <x v="3"/>
  </r>
  <r>
    <s v="CUST0257"/>
    <n v="42.656990740739275"/>
    <n v="5"/>
    <n v="84.58"/>
    <n v="4"/>
    <n v="5"/>
    <n v="4"/>
    <n v="13"/>
    <x v="0"/>
  </r>
  <r>
    <s v="CUST0258"/>
    <n v="268.65699074073927"/>
    <n v="1"/>
    <n v="12.22"/>
    <n v="1"/>
    <n v="1"/>
    <n v="1"/>
    <n v="3"/>
    <x v="4"/>
  </r>
  <r>
    <s v="CUST0259"/>
    <n v="264.65699074073927"/>
    <n v="2"/>
    <n v="59.36"/>
    <n v="1"/>
    <n v="2"/>
    <n v="3"/>
    <n v="6"/>
    <x v="3"/>
  </r>
  <r>
    <s v="CUST0260"/>
    <n v="103.65699074073927"/>
    <n v="1"/>
    <n v="33.6"/>
    <n v="3"/>
    <n v="1"/>
    <n v="2"/>
    <n v="6"/>
    <x v="3"/>
  </r>
  <r>
    <s v="CUST0261"/>
    <n v="56.656990740739275"/>
    <n v="6"/>
    <n v="60.890000000000008"/>
    <n v="4"/>
    <n v="5"/>
    <n v="3"/>
    <n v="12"/>
    <x v="1"/>
  </r>
  <r>
    <s v="CUST0262"/>
    <n v="24.656990740739275"/>
    <n v="5"/>
    <n v="121.51"/>
    <n v="5"/>
    <n v="5"/>
    <n v="5"/>
    <n v="15"/>
    <x v="0"/>
  </r>
  <r>
    <s v="CUST0263"/>
    <n v="105.65699074073927"/>
    <n v="3"/>
    <n v="57.67"/>
    <n v="3"/>
    <n v="3"/>
    <n v="3"/>
    <n v="9"/>
    <x v="2"/>
  </r>
  <r>
    <s v="CUST0264"/>
    <n v="44.656990740739275"/>
    <n v="6"/>
    <n v="126.84"/>
    <n v="4"/>
    <n v="5"/>
    <n v="5"/>
    <n v="14"/>
    <x v="0"/>
  </r>
  <r>
    <s v="CUST0265"/>
    <n v="22.656990740739275"/>
    <n v="2"/>
    <n v="50.75"/>
    <n v="5"/>
    <n v="2"/>
    <n v="3"/>
    <n v="10"/>
    <x v="1"/>
  </r>
  <r>
    <s v="CUST0266"/>
    <n v="109.65699074073927"/>
    <n v="4"/>
    <n v="37.729999999999997"/>
    <n v="3"/>
    <n v="4"/>
    <n v="2"/>
    <n v="9"/>
    <x v="2"/>
  </r>
  <r>
    <s v="CUST0267"/>
    <n v="143.65699074073927"/>
    <n v="6"/>
    <n v="140.88999999999999"/>
    <n v="2"/>
    <n v="5"/>
    <n v="5"/>
    <n v="12"/>
    <x v="1"/>
  </r>
  <r>
    <s v="CUST0268"/>
    <n v="229.65699074073927"/>
    <n v="3"/>
    <n v="80.47"/>
    <n v="1"/>
    <n v="3"/>
    <n v="4"/>
    <n v="8"/>
    <x v="2"/>
  </r>
  <r>
    <s v="CUST0269"/>
    <n v="202.65699074073927"/>
    <n v="4"/>
    <n v="70.960000000000008"/>
    <n v="1"/>
    <n v="4"/>
    <n v="4"/>
    <n v="9"/>
    <x v="2"/>
  </r>
  <r>
    <s v="CUST0270"/>
    <n v="146.65699074073927"/>
    <n v="4"/>
    <n v="83.37"/>
    <n v="2"/>
    <n v="4"/>
    <n v="4"/>
    <n v="10"/>
    <x v="1"/>
  </r>
  <r>
    <s v="CUST0271"/>
    <n v="60.656990740739275"/>
    <n v="5"/>
    <n v="117.98"/>
    <n v="4"/>
    <n v="5"/>
    <n v="5"/>
    <n v="14"/>
    <x v="0"/>
  </r>
  <r>
    <s v="CUST0272"/>
    <n v="377.65699074073927"/>
    <n v="1"/>
    <n v="4.37"/>
    <n v="1"/>
    <n v="1"/>
    <n v="1"/>
    <n v="3"/>
    <x v="4"/>
  </r>
  <r>
    <s v="CUST0273"/>
    <n v="209.65699074073927"/>
    <n v="3"/>
    <n v="55.449999999999996"/>
    <n v="1"/>
    <n v="3"/>
    <n v="3"/>
    <n v="7"/>
    <x v="2"/>
  </r>
  <r>
    <s v="CUST0274"/>
    <n v="56.656990740739275"/>
    <n v="3"/>
    <n v="71.960000000000008"/>
    <n v="4"/>
    <n v="3"/>
    <n v="4"/>
    <n v="11"/>
    <x v="1"/>
  </r>
  <r>
    <s v="CUST0275"/>
    <n v="266.65699074073927"/>
    <n v="2"/>
    <n v="27.740000000000002"/>
    <n v="1"/>
    <n v="2"/>
    <n v="2"/>
    <n v="5"/>
    <x v="3"/>
  </r>
  <r>
    <s v="CUST0276"/>
    <n v="231.65699074073927"/>
    <n v="2"/>
    <n v="48.74"/>
    <n v="1"/>
    <n v="2"/>
    <n v="3"/>
    <n v="6"/>
    <x v="3"/>
  </r>
  <r>
    <s v="CUST0277"/>
    <n v="154.65699074073927"/>
    <n v="3"/>
    <n v="34.480000000000004"/>
    <n v="2"/>
    <n v="3"/>
    <n v="2"/>
    <n v="7"/>
    <x v="2"/>
  </r>
  <r>
    <s v="CUST0278"/>
    <n v="103.65699074073927"/>
    <n v="2"/>
    <n v="27.89"/>
    <n v="3"/>
    <n v="2"/>
    <n v="2"/>
    <n v="7"/>
    <x v="2"/>
  </r>
  <r>
    <s v="CUST0279"/>
    <n v="354.65699074073927"/>
    <n v="1"/>
    <n v="5.19"/>
    <n v="1"/>
    <n v="1"/>
    <n v="1"/>
    <n v="3"/>
    <x v="4"/>
  </r>
  <r>
    <s v="CUST0280"/>
    <n v="212.65699074073927"/>
    <n v="2"/>
    <n v="11.09"/>
    <n v="1"/>
    <n v="2"/>
    <n v="1"/>
    <n v="4"/>
    <x v="3"/>
  </r>
  <r>
    <s v="CUST0281"/>
    <n v="214.65699074073927"/>
    <n v="3"/>
    <n v="47.22"/>
    <n v="1"/>
    <n v="3"/>
    <n v="3"/>
    <n v="7"/>
    <x v="2"/>
  </r>
  <r>
    <s v="CUST0282"/>
    <n v="42.656990740739275"/>
    <n v="6"/>
    <n v="70.48"/>
    <n v="4"/>
    <n v="5"/>
    <n v="4"/>
    <n v="13"/>
    <x v="0"/>
  </r>
  <r>
    <s v="CUST0283"/>
    <n v="55.656990740739275"/>
    <n v="1"/>
    <n v="5.6"/>
    <n v="4"/>
    <n v="1"/>
    <n v="1"/>
    <n v="6"/>
    <x v="3"/>
  </r>
  <r>
    <s v="CUST0284"/>
    <n v="74.656990740739275"/>
    <n v="2"/>
    <n v="71.95"/>
    <n v="3"/>
    <n v="2"/>
    <n v="4"/>
    <n v="9"/>
    <x v="2"/>
  </r>
  <r>
    <s v="CUST0285"/>
    <n v="102.65699074073927"/>
    <n v="8"/>
    <n v="143.59"/>
    <n v="3"/>
    <n v="5"/>
    <n v="5"/>
    <n v="13"/>
    <x v="0"/>
  </r>
  <r>
    <s v="CUST0286"/>
    <n v="37.656990740739275"/>
    <n v="2"/>
    <n v="15.41"/>
    <n v="5"/>
    <n v="2"/>
    <n v="1"/>
    <n v="8"/>
    <x v="2"/>
  </r>
  <r>
    <s v="CUST0287"/>
    <n v="42.656990740739275"/>
    <n v="4"/>
    <n v="40.15"/>
    <n v="4"/>
    <n v="4"/>
    <n v="2"/>
    <n v="10"/>
    <x v="1"/>
  </r>
  <r>
    <s v="CUST0288"/>
    <n v="64.656990740739275"/>
    <n v="7"/>
    <n v="88.53"/>
    <n v="4"/>
    <n v="5"/>
    <n v="4"/>
    <n v="13"/>
    <x v="0"/>
  </r>
  <r>
    <s v="CUST0289"/>
    <n v="100.65699074073927"/>
    <n v="7"/>
    <n v="121.16999999999999"/>
    <n v="3"/>
    <n v="5"/>
    <n v="5"/>
    <n v="13"/>
    <x v="0"/>
  </r>
  <r>
    <s v="CUST0290"/>
    <n v="249.65699074073927"/>
    <n v="2"/>
    <n v="69.789999999999992"/>
    <n v="1"/>
    <n v="2"/>
    <n v="4"/>
    <n v="7"/>
    <x v="2"/>
  </r>
  <r>
    <s v="CUST0291"/>
    <n v="36.656990740739275"/>
    <n v="6"/>
    <n v="125.53"/>
    <n v="5"/>
    <n v="5"/>
    <n v="5"/>
    <n v="15"/>
    <x v="0"/>
  </r>
  <r>
    <s v="CUST0292"/>
    <n v="81.656990740739275"/>
    <n v="3"/>
    <n v="69.42"/>
    <n v="3"/>
    <n v="3"/>
    <n v="4"/>
    <n v="10"/>
    <x v="1"/>
  </r>
  <r>
    <s v="CUST0293"/>
    <n v="33.656990740739275"/>
    <n v="12"/>
    <n v="190.97"/>
    <n v="5"/>
    <n v="5"/>
    <n v="5"/>
    <n v="15"/>
    <x v="0"/>
  </r>
  <r>
    <s v="CUST0294"/>
    <n v="141.65699074073927"/>
    <n v="3"/>
    <n v="59.379999999999995"/>
    <n v="2"/>
    <n v="3"/>
    <n v="3"/>
    <n v="8"/>
    <x v="2"/>
  </r>
  <r>
    <s v="CUST0295"/>
    <n v="107.65699074073927"/>
    <n v="5"/>
    <n v="57.31"/>
    <n v="3"/>
    <n v="5"/>
    <n v="3"/>
    <n v="11"/>
    <x v="1"/>
  </r>
  <r>
    <s v="CUST0296"/>
    <n v="62.656990740739275"/>
    <n v="5"/>
    <n v="97.41"/>
    <n v="4"/>
    <n v="5"/>
    <n v="5"/>
    <n v="14"/>
    <x v="0"/>
  </r>
  <r>
    <s v="CUST0297"/>
    <n v="22.656990740739275"/>
    <n v="2"/>
    <n v="41.12"/>
    <n v="5"/>
    <n v="2"/>
    <n v="2"/>
    <n v="9"/>
    <x v="2"/>
  </r>
  <r>
    <s v="CUST0298"/>
    <n v="64.656990740739275"/>
    <n v="2"/>
    <n v="28.03"/>
    <n v="4"/>
    <n v="2"/>
    <n v="2"/>
    <n v="8"/>
    <x v="2"/>
  </r>
  <r>
    <s v="CUST0299"/>
    <n v="22.656990740739275"/>
    <n v="2"/>
    <n v="36.299999999999997"/>
    <n v="5"/>
    <n v="2"/>
    <n v="2"/>
    <n v="9"/>
    <x v="2"/>
  </r>
  <r>
    <s v="CUST0300"/>
    <n v="131.65699074073927"/>
    <n v="2"/>
    <n v="48.06"/>
    <n v="2"/>
    <n v="2"/>
    <n v="3"/>
    <n v="7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ER00001"/>
    <x v="0"/>
    <d v="2025-02-10T08:13:56"/>
    <s v="Canvas Print"/>
    <n v="45.41"/>
  </r>
  <r>
    <s v="ORDER00002"/>
    <x v="1"/>
    <d v="2025-10-14T08:13:56"/>
    <s v="Poster"/>
    <n v="13.71"/>
  </r>
  <r>
    <s v="ORDER00003"/>
    <x v="2"/>
    <d v="2025-07-28T08:13:56"/>
    <s v="Business Card"/>
    <n v="11.66"/>
  </r>
  <r>
    <s v="ORDER00004"/>
    <x v="3"/>
    <d v="2025-02-14T08:13:56"/>
    <s v="Flyer"/>
    <n v="9.07"/>
  </r>
  <r>
    <s v="ORDER00005"/>
    <x v="4"/>
    <d v="2025-01-10T08:13:56"/>
    <s v="Flyer"/>
    <n v="11.16"/>
  </r>
  <r>
    <s v="ORDER00006"/>
    <x v="5"/>
    <d v="2025-05-07T08:13:56"/>
    <s v="Poster"/>
    <n v="15.44"/>
  </r>
  <r>
    <s v="ORDER00007"/>
    <x v="6"/>
    <d v="2024-11-20T08:13:56"/>
    <s v="Business Card"/>
    <n v="12.76"/>
  </r>
  <r>
    <s v="ORDER00008"/>
    <x v="7"/>
    <d v="2025-02-10T08:13:56"/>
    <s v="Poster"/>
    <n v="13.51"/>
  </r>
  <r>
    <s v="ORDER00009"/>
    <x v="8"/>
    <d v="2025-03-01T08:13:56"/>
    <s v="Canvas Print"/>
    <n v="35.520000000000003"/>
  </r>
  <r>
    <s v="ORDER00010"/>
    <x v="9"/>
    <d v="2025-06-02T08:13:56"/>
    <s v="Photo Book"/>
    <n v="24.88"/>
  </r>
  <r>
    <s v="ORDER00011"/>
    <x v="10"/>
    <d v="2025-09-26T08:13:56"/>
    <s v="Flyer"/>
    <n v="10.95"/>
  </r>
  <r>
    <s v="ORDER00012"/>
    <x v="11"/>
    <d v="2025-01-26T08:13:56"/>
    <s v="Canvas Print"/>
    <n v="40.4"/>
  </r>
  <r>
    <s v="ORDER00013"/>
    <x v="12"/>
    <d v="2025-02-07T08:13:56"/>
    <s v="Photo Book"/>
    <n v="20.329999999999998"/>
  </r>
  <r>
    <s v="ORDER00014"/>
    <x v="13"/>
    <d v="2025-10-25T08:13:56"/>
    <s v="Canvas Print"/>
    <n v="45.9"/>
  </r>
  <r>
    <s v="ORDER00015"/>
    <x v="14"/>
    <d v="2025-03-31T08:13:56"/>
    <s v="Business Card"/>
    <n v="9.91"/>
  </r>
  <r>
    <s v="ORDER00016"/>
    <x v="15"/>
    <d v="2025-03-10T08:13:56"/>
    <s v="Flyer"/>
    <n v="11.82"/>
  </r>
  <r>
    <s v="ORDER00017"/>
    <x v="16"/>
    <d v="2025-03-29T08:13:56"/>
    <s v="Poster"/>
    <n v="12.15"/>
  </r>
  <r>
    <s v="ORDER00018"/>
    <x v="17"/>
    <d v="2025-09-04T08:13:56"/>
    <s v="Poster"/>
    <n v="16.170000000000002"/>
  </r>
  <r>
    <s v="ORDER00019"/>
    <x v="18"/>
    <d v="2025-07-15T08:13:56"/>
    <s v="Photo Book"/>
    <n v="20.82"/>
  </r>
  <r>
    <s v="ORDER00020"/>
    <x v="19"/>
    <d v="2025-10-09T08:13:56"/>
    <s v="Greeting Card"/>
    <n v="5.82"/>
  </r>
  <r>
    <s v="ORDER00021"/>
    <x v="20"/>
    <d v="2025-08-20T08:13:56"/>
    <s v="Business Card"/>
    <n v="11.83"/>
  </r>
  <r>
    <s v="ORDER00022"/>
    <x v="21"/>
    <d v="2025-05-10T08:13:56"/>
    <s v="Photo Book"/>
    <n v="21.38"/>
  </r>
  <r>
    <s v="ORDER00023"/>
    <x v="22"/>
    <d v="2025-08-03T08:13:56"/>
    <s v="Greeting Card"/>
    <n v="4.68"/>
  </r>
  <r>
    <s v="ORDER00024"/>
    <x v="23"/>
    <d v="2025-04-09T08:13:56"/>
    <s v="Canvas Print"/>
    <n v="34.64"/>
  </r>
  <r>
    <s v="ORDER00025"/>
    <x v="24"/>
    <d v="2025-09-09T08:13:56"/>
    <s v="Business Card"/>
    <n v="10.42"/>
  </r>
  <r>
    <s v="ORDER00026"/>
    <x v="25"/>
    <d v="2024-11-21T08:13:56"/>
    <s v="Canvas Print"/>
    <n v="47.17"/>
  </r>
  <r>
    <s v="ORDER00027"/>
    <x v="26"/>
    <d v="2025-07-10T08:13:56"/>
    <s v="Flyer"/>
    <n v="9.7799999999999994"/>
  </r>
  <r>
    <s v="ORDER00028"/>
    <x v="27"/>
    <d v="2025-06-23T08:13:56"/>
    <s v="Business Card"/>
    <n v="13.39"/>
  </r>
  <r>
    <s v="ORDER00029"/>
    <x v="28"/>
    <d v="2025-10-10T08:13:56"/>
    <s v="Greeting Card"/>
    <n v="5.28"/>
  </r>
  <r>
    <s v="ORDER00030"/>
    <x v="29"/>
    <d v="2024-12-18T08:13:56"/>
    <s v="Flyer"/>
    <n v="10.71"/>
  </r>
  <r>
    <s v="ORDER00031"/>
    <x v="30"/>
    <d v="2024-12-28T08:13:56"/>
    <s v="Poster"/>
    <n v="12.79"/>
  </r>
  <r>
    <s v="ORDER00032"/>
    <x v="31"/>
    <d v="2025-04-18T08:13:56"/>
    <s v="Greeting Card"/>
    <n v="4.47"/>
  </r>
  <r>
    <s v="ORDER00033"/>
    <x v="32"/>
    <d v="2025-05-06T08:13:56"/>
    <s v="Photo Book"/>
    <n v="27.87"/>
  </r>
  <r>
    <s v="ORDER00034"/>
    <x v="33"/>
    <d v="2025-07-28T08:13:56"/>
    <s v="Poster"/>
    <n v="17.82"/>
  </r>
  <r>
    <s v="ORDER00035"/>
    <x v="34"/>
    <d v="2025-05-08T08:13:56"/>
    <s v="Poster"/>
    <n v="13.58"/>
  </r>
  <r>
    <s v="ORDER00036"/>
    <x v="35"/>
    <d v="2025-04-23T08:13:56"/>
    <s v="Photo Book"/>
    <n v="22.72"/>
  </r>
  <r>
    <s v="ORDER00037"/>
    <x v="36"/>
    <d v="2024-12-20T08:13:56"/>
    <s v="Business Card"/>
    <n v="11.87"/>
  </r>
  <r>
    <s v="ORDER00038"/>
    <x v="37"/>
    <d v="2025-10-29T08:13:56"/>
    <s v="Poster"/>
    <n v="17.899999999999999"/>
  </r>
  <r>
    <s v="ORDER00039"/>
    <x v="38"/>
    <d v="2024-12-24T08:13:56"/>
    <s v="Greeting Card"/>
    <n v="4.54"/>
  </r>
  <r>
    <s v="ORDER00040"/>
    <x v="36"/>
    <d v="2025-07-01T08:13:56"/>
    <s v="Flyer"/>
    <n v="9.6300000000000008"/>
  </r>
  <r>
    <s v="ORDER00041"/>
    <x v="23"/>
    <d v="2025-09-15T08:13:56"/>
    <s v="Poster"/>
    <n v="17.350000000000001"/>
  </r>
  <r>
    <s v="ORDER00042"/>
    <x v="39"/>
    <d v="2025-03-10T08:13:56"/>
    <s v="Greeting Card"/>
    <n v="4.01"/>
  </r>
  <r>
    <s v="ORDER00043"/>
    <x v="40"/>
    <d v="2025-09-02T08:13:56"/>
    <s v="Canvas Print"/>
    <n v="32.64"/>
  </r>
  <r>
    <s v="ORDER00044"/>
    <x v="41"/>
    <d v="2025-03-14T08:13:56"/>
    <s v="Greeting Card"/>
    <n v="5.21"/>
  </r>
  <r>
    <s v="ORDER00045"/>
    <x v="42"/>
    <d v="2024-11-20T08:13:56"/>
    <s v="Flyer"/>
    <n v="11.63"/>
  </r>
  <r>
    <s v="ORDER00046"/>
    <x v="43"/>
    <d v="2025-09-24T08:13:56"/>
    <s v="Greeting Card"/>
    <n v="4.4800000000000004"/>
  </r>
  <r>
    <s v="ORDER00047"/>
    <x v="44"/>
    <d v="2025-04-15T08:13:56"/>
    <s v="Photo Book"/>
    <n v="24.7"/>
  </r>
  <r>
    <s v="ORDER00048"/>
    <x v="45"/>
    <d v="2025-07-31T08:13:56"/>
    <s v="Flyer"/>
    <n v="9.8000000000000007"/>
  </r>
  <r>
    <s v="ORDER00049"/>
    <x v="46"/>
    <d v="2025-01-27T08:13:56"/>
    <s v="Business Card"/>
    <n v="11.87"/>
  </r>
  <r>
    <s v="ORDER00050"/>
    <x v="47"/>
    <d v="2025-09-11T08:13:56"/>
    <s v="Canvas Print"/>
    <n v="41.96"/>
  </r>
  <r>
    <s v="ORDER00051"/>
    <x v="48"/>
    <d v="2024-11-13T08:13:56"/>
    <s v="Photo Book"/>
    <n v="24.7"/>
  </r>
  <r>
    <s v="ORDER00052"/>
    <x v="49"/>
    <d v="2025-06-29T08:13:56"/>
    <s v="Business Card"/>
    <n v="11.75"/>
  </r>
  <r>
    <s v="ORDER00053"/>
    <x v="50"/>
    <d v="2025-07-22T08:13:56"/>
    <s v="Greeting Card"/>
    <n v="4.95"/>
  </r>
  <r>
    <s v="ORDER00054"/>
    <x v="40"/>
    <d v="2025-10-11T08:13:56"/>
    <s v="Flyer"/>
    <n v="10.36"/>
  </r>
  <r>
    <s v="ORDER00055"/>
    <x v="40"/>
    <d v="2024-12-22T08:13:56"/>
    <s v="Canvas Print"/>
    <n v="40.590000000000003"/>
  </r>
  <r>
    <s v="ORDER00056"/>
    <x v="51"/>
    <d v="2025-10-05T08:13:56"/>
    <s v="Photo Book"/>
    <n v="28.54"/>
  </r>
  <r>
    <s v="ORDER00057"/>
    <x v="52"/>
    <d v="2025-01-30T08:13:56"/>
    <s v="Business Card"/>
    <n v="9.84"/>
  </r>
  <r>
    <s v="ORDER00058"/>
    <x v="53"/>
    <d v="2025-07-21T08:13:56"/>
    <s v="Business Card"/>
    <n v="13.6"/>
  </r>
  <r>
    <s v="ORDER00059"/>
    <x v="54"/>
    <d v="2024-12-04T08:13:56"/>
    <s v="Canvas Print"/>
    <n v="45.5"/>
  </r>
  <r>
    <s v="ORDER00060"/>
    <x v="43"/>
    <d v="2025-05-24T08:13:56"/>
    <s v="Greeting Card"/>
    <n v="4.57"/>
  </r>
  <r>
    <s v="ORDER00061"/>
    <x v="38"/>
    <d v="2025-01-19T08:13:56"/>
    <s v="Canvas Print"/>
    <n v="39.409999999999997"/>
  </r>
  <r>
    <s v="ORDER00062"/>
    <x v="55"/>
    <d v="2024-12-19T08:13:56"/>
    <s v="Business Card"/>
    <n v="11.7"/>
  </r>
  <r>
    <s v="ORDER00063"/>
    <x v="56"/>
    <d v="2025-10-25T08:13:56"/>
    <s v="Poster"/>
    <n v="13.31"/>
  </r>
  <r>
    <s v="ORDER00064"/>
    <x v="57"/>
    <d v="2024-11-01T08:13:56"/>
    <s v="Photo Book"/>
    <n v="23.97"/>
  </r>
  <r>
    <s v="ORDER00065"/>
    <x v="58"/>
    <d v="2024-12-23T08:13:56"/>
    <s v="Canvas Print"/>
    <n v="32.71"/>
  </r>
  <r>
    <s v="ORDER00066"/>
    <x v="59"/>
    <d v="2025-02-13T08:13:56"/>
    <s v="Business Card"/>
    <n v="10.93"/>
  </r>
  <r>
    <s v="ORDER00067"/>
    <x v="57"/>
    <d v="2025-07-17T08:13:56"/>
    <s v="Greeting Card"/>
    <n v="5.63"/>
  </r>
  <r>
    <s v="ORDER00068"/>
    <x v="14"/>
    <d v="2025-09-05T08:13:56"/>
    <s v="Business Card"/>
    <n v="10.97"/>
  </r>
  <r>
    <s v="ORDER00069"/>
    <x v="60"/>
    <d v="2025-05-09T08:13:56"/>
    <s v="Greeting Card"/>
    <n v="5.64"/>
  </r>
  <r>
    <s v="ORDER00070"/>
    <x v="58"/>
    <d v="2025-06-05T08:13:56"/>
    <s v="Canvas Print"/>
    <n v="40.51"/>
  </r>
  <r>
    <s v="ORDER00071"/>
    <x v="61"/>
    <d v="2024-12-13T08:13:56"/>
    <s v="Greeting Card"/>
    <n v="5.76"/>
  </r>
  <r>
    <s v="ORDER00072"/>
    <x v="62"/>
    <d v="2025-04-10T08:13:56"/>
    <s v="Flyer"/>
    <n v="10.3"/>
  </r>
  <r>
    <s v="ORDER00073"/>
    <x v="63"/>
    <d v="2025-05-20T08:13:56"/>
    <s v="Flyer"/>
    <n v="8.1199999999999992"/>
  </r>
  <r>
    <s v="ORDER00074"/>
    <x v="3"/>
    <d v="2025-07-27T08:13:56"/>
    <s v="Flyer"/>
    <n v="10.7"/>
  </r>
  <r>
    <s v="ORDER00075"/>
    <x v="32"/>
    <d v="2025-10-16T08:13:56"/>
    <s v="Poster"/>
    <n v="12.27"/>
  </r>
  <r>
    <s v="ORDER00076"/>
    <x v="64"/>
    <d v="2025-08-30T08:13:56"/>
    <s v="Canvas Print"/>
    <n v="39.21"/>
  </r>
  <r>
    <s v="ORDER00077"/>
    <x v="65"/>
    <d v="2025-07-28T08:13:56"/>
    <s v="Business Card"/>
    <n v="14.06"/>
  </r>
  <r>
    <s v="ORDER00078"/>
    <x v="66"/>
    <d v="2025-06-02T08:13:56"/>
    <s v="Business Card"/>
    <n v="10.39"/>
  </r>
  <r>
    <s v="ORDER00079"/>
    <x v="67"/>
    <d v="2025-07-09T08:13:56"/>
    <s v="Poster"/>
    <n v="14.34"/>
  </r>
  <r>
    <s v="ORDER00080"/>
    <x v="68"/>
    <d v="2025-05-08T08:13:56"/>
    <s v="Greeting Card"/>
    <n v="5.46"/>
  </r>
  <r>
    <s v="ORDER00081"/>
    <x v="69"/>
    <d v="2025-08-22T08:13:56"/>
    <s v="Poster"/>
    <n v="17.29"/>
  </r>
  <r>
    <s v="ORDER00082"/>
    <x v="70"/>
    <d v="2025-05-31T08:13:56"/>
    <s v="Greeting Card"/>
    <n v="5.34"/>
  </r>
  <r>
    <s v="ORDER00083"/>
    <x v="55"/>
    <d v="2025-05-26T08:13:56"/>
    <s v="Greeting Card"/>
    <n v="4.5199999999999996"/>
  </r>
  <r>
    <s v="ORDER00084"/>
    <x v="57"/>
    <d v="2025-06-24T08:13:56"/>
    <s v="Photo Book"/>
    <n v="26.75"/>
  </r>
  <r>
    <s v="ORDER00085"/>
    <x v="71"/>
    <d v="2025-10-03T08:13:56"/>
    <s v="Business Card"/>
    <n v="11.02"/>
  </r>
  <r>
    <s v="ORDER00086"/>
    <x v="4"/>
    <d v="2024-12-22T08:13:56"/>
    <s v="Flyer"/>
    <n v="10.87"/>
  </r>
  <r>
    <s v="ORDER00087"/>
    <x v="57"/>
    <d v="2025-08-06T08:13:56"/>
    <s v="Greeting Card"/>
    <n v="5.91"/>
  </r>
  <r>
    <s v="ORDER00088"/>
    <x v="72"/>
    <d v="2025-06-04T08:13:56"/>
    <s v="Photo Book"/>
    <n v="27.21"/>
  </r>
  <r>
    <s v="ORDER00089"/>
    <x v="73"/>
    <d v="2025-07-09T08:13:56"/>
    <s v="Business Card"/>
    <n v="13.74"/>
  </r>
  <r>
    <s v="ORDER00090"/>
    <x v="9"/>
    <d v="2025-05-06T08:13:56"/>
    <s v="Flyer"/>
    <n v="8.01"/>
  </r>
  <r>
    <s v="ORDER00091"/>
    <x v="16"/>
    <d v="2024-12-10T08:13:56"/>
    <s v="Greeting Card"/>
    <n v="5.44"/>
  </r>
  <r>
    <s v="ORDER00092"/>
    <x v="74"/>
    <d v="2025-04-05T08:13:56"/>
    <s v="Greeting Card"/>
    <n v="5.66"/>
  </r>
  <r>
    <s v="ORDER00093"/>
    <x v="75"/>
    <d v="2024-11-14T08:13:56"/>
    <s v="Poster"/>
    <n v="12.24"/>
  </r>
  <r>
    <s v="ORDER00094"/>
    <x v="76"/>
    <d v="2025-08-27T08:13:56"/>
    <s v="Poster"/>
    <n v="17.23"/>
  </r>
  <r>
    <s v="ORDER00095"/>
    <x v="77"/>
    <d v="2025-01-03T08:13:56"/>
    <s v="Business Card"/>
    <n v="10.83"/>
  </r>
  <r>
    <s v="ORDER00096"/>
    <x v="78"/>
    <d v="2025-10-10T08:13:56"/>
    <s v="Flyer"/>
    <n v="10.66"/>
  </r>
  <r>
    <s v="ORDER00097"/>
    <x v="79"/>
    <d v="2025-09-22T08:13:56"/>
    <s v="Greeting Card"/>
    <n v="5.6"/>
  </r>
  <r>
    <s v="ORDER00098"/>
    <x v="17"/>
    <d v="2024-11-08T08:13:56"/>
    <s v="Business Card"/>
    <n v="12.78"/>
  </r>
  <r>
    <s v="ORDER00099"/>
    <x v="80"/>
    <d v="2025-10-09T08:13:56"/>
    <s v="Business Card"/>
    <n v="10.039999999999999"/>
  </r>
  <r>
    <s v="ORDER00100"/>
    <x v="81"/>
    <d v="2025-03-08T08:13:56"/>
    <s v="Canvas Print"/>
    <n v="41.54"/>
  </r>
  <r>
    <s v="ORDER00101"/>
    <x v="61"/>
    <d v="2025-03-15T08:13:56"/>
    <s v="Poster"/>
    <n v="15.3"/>
  </r>
  <r>
    <s v="ORDER00102"/>
    <x v="14"/>
    <d v="2025-01-01T08:13:56"/>
    <s v="Flyer"/>
    <n v="11.6"/>
  </r>
  <r>
    <s v="ORDER00103"/>
    <x v="53"/>
    <d v="2025-03-18T08:13:56"/>
    <s v="Greeting Card"/>
    <n v="4.8099999999999996"/>
  </r>
  <r>
    <s v="ORDER00104"/>
    <x v="82"/>
    <d v="2025-01-19T08:13:56"/>
    <s v="Business Card"/>
    <n v="11.14"/>
  </r>
  <r>
    <s v="ORDER00105"/>
    <x v="45"/>
    <d v="2025-04-11T08:13:56"/>
    <s v="Greeting Card"/>
    <n v="5.5"/>
  </r>
  <r>
    <s v="ORDER00106"/>
    <x v="83"/>
    <d v="2025-08-15T08:13:56"/>
    <s v="Canvas Print"/>
    <n v="38.6"/>
  </r>
  <r>
    <s v="ORDER00107"/>
    <x v="84"/>
    <d v="2025-07-18T08:13:56"/>
    <s v="Flyer"/>
    <n v="10.58"/>
  </r>
  <r>
    <s v="ORDER00108"/>
    <x v="40"/>
    <d v="2025-06-18T08:13:56"/>
    <s v="Business Card"/>
    <n v="12.7"/>
  </r>
  <r>
    <s v="ORDER00109"/>
    <x v="85"/>
    <d v="2024-12-10T08:13:56"/>
    <s v="Greeting Card"/>
    <n v="5.78"/>
  </r>
  <r>
    <s v="ORDER00110"/>
    <x v="56"/>
    <d v="2024-11-27T08:13:56"/>
    <s v="Poster"/>
    <n v="15.59"/>
  </r>
  <r>
    <s v="ORDER00111"/>
    <x v="40"/>
    <d v="2025-03-14T08:13:56"/>
    <s v="Canvas Print"/>
    <n v="40.03"/>
  </r>
  <r>
    <s v="ORDER00112"/>
    <x v="86"/>
    <d v="2025-05-19T08:13:56"/>
    <s v="Flyer"/>
    <n v="8.56"/>
  </r>
  <r>
    <s v="ORDER00113"/>
    <x v="87"/>
    <d v="2025-09-23T08:13:56"/>
    <s v="Canvas Print"/>
    <n v="33.85"/>
  </r>
  <r>
    <s v="ORDER00114"/>
    <x v="88"/>
    <d v="2025-07-25T08:13:56"/>
    <s v="Poster"/>
    <n v="12.93"/>
  </r>
  <r>
    <s v="ORDER00115"/>
    <x v="89"/>
    <d v="2024-12-02T08:13:56"/>
    <s v="Flyer"/>
    <n v="8.69"/>
  </r>
  <r>
    <s v="ORDER00116"/>
    <x v="90"/>
    <d v="2024-12-17T08:13:56"/>
    <s v="Canvas Print"/>
    <n v="42.21"/>
  </r>
  <r>
    <s v="ORDER00117"/>
    <x v="91"/>
    <d v="2024-12-31T08:13:56"/>
    <s v="Photo Book"/>
    <n v="27.41"/>
  </r>
  <r>
    <s v="ORDER00118"/>
    <x v="92"/>
    <d v="2025-06-03T08:13:56"/>
    <s v="Poster"/>
    <n v="15.18"/>
  </r>
  <r>
    <s v="ORDER00119"/>
    <x v="93"/>
    <d v="2025-08-19T08:13:56"/>
    <s v="Poster"/>
    <n v="16.97"/>
  </r>
  <r>
    <s v="ORDER00120"/>
    <x v="94"/>
    <d v="2025-02-06T08:13:56"/>
    <s v="Poster"/>
    <n v="17.95"/>
  </r>
  <r>
    <s v="ORDER00121"/>
    <x v="23"/>
    <d v="2025-04-20T08:13:56"/>
    <s v="Photo Book"/>
    <n v="28.2"/>
  </r>
  <r>
    <s v="ORDER00122"/>
    <x v="95"/>
    <d v="2025-10-25T08:13:56"/>
    <s v="Photo Book"/>
    <n v="26.95"/>
  </r>
  <r>
    <s v="ORDER00123"/>
    <x v="96"/>
    <d v="2025-06-01T08:13:56"/>
    <s v="Greeting Card"/>
    <n v="5.0599999999999996"/>
  </r>
  <r>
    <s v="ORDER00124"/>
    <x v="25"/>
    <d v="2024-12-04T08:13:56"/>
    <s v="Business Card"/>
    <n v="11.75"/>
  </r>
  <r>
    <s v="ORDER00125"/>
    <x v="97"/>
    <d v="2025-06-14T08:13:56"/>
    <s v="Canvas Print"/>
    <n v="33.35"/>
  </r>
  <r>
    <s v="ORDER00126"/>
    <x v="11"/>
    <d v="2025-02-08T08:13:56"/>
    <s v="Greeting Card"/>
    <n v="4.8"/>
  </r>
  <r>
    <s v="ORDER00127"/>
    <x v="98"/>
    <d v="2025-03-10T08:13:56"/>
    <s v="Canvas Print"/>
    <n v="46.56"/>
  </r>
  <r>
    <s v="ORDER00128"/>
    <x v="99"/>
    <d v="2025-07-14T08:13:56"/>
    <s v="Business Card"/>
    <n v="13.48"/>
  </r>
  <r>
    <s v="ORDER00129"/>
    <x v="22"/>
    <d v="2024-11-04T08:13:56"/>
    <s v="Photo Book"/>
    <n v="22.16"/>
  </r>
  <r>
    <s v="ORDER00130"/>
    <x v="100"/>
    <d v="2025-06-05T08:13:56"/>
    <s v="Business Card"/>
    <n v="11.84"/>
  </r>
  <r>
    <s v="ORDER00131"/>
    <x v="101"/>
    <d v="2025-07-12T08:13:56"/>
    <s v="Photo Book"/>
    <n v="28.17"/>
  </r>
  <r>
    <s v="ORDER00132"/>
    <x v="19"/>
    <d v="2025-10-24T08:13:56"/>
    <s v="Business Card"/>
    <n v="9.92"/>
  </r>
  <r>
    <s v="ORDER00133"/>
    <x v="102"/>
    <d v="2025-08-09T08:13:56"/>
    <s v="Greeting Card"/>
    <n v="4.7699999999999996"/>
  </r>
  <r>
    <s v="ORDER00134"/>
    <x v="103"/>
    <d v="2025-05-25T08:13:56"/>
    <s v="Flyer"/>
    <n v="11.41"/>
  </r>
  <r>
    <s v="ORDER00135"/>
    <x v="104"/>
    <d v="2024-11-14T08:13:56"/>
    <s v="Greeting Card"/>
    <n v="4.8099999999999996"/>
  </r>
  <r>
    <s v="ORDER00136"/>
    <x v="29"/>
    <d v="2025-10-11T08:13:56"/>
    <s v="Canvas Print"/>
    <n v="33.24"/>
  </r>
  <r>
    <s v="ORDER00137"/>
    <x v="46"/>
    <d v="2024-12-11T08:13:56"/>
    <s v="Greeting Card"/>
    <n v="5.09"/>
  </r>
  <r>
    <s v="ORDER00138"/>
    <x v="105"/>
    <d v="2025-04-27T08:13:56"/>
    <s v="Poster"/>
    <n v="17.170000000000002"/>
  </r>
  <r>
    <s v="ORDER00139"/>
    <x v="106"/>
    <d v="2025-01-01T08:13:56"/>
    <s v="Canvas Print"/>
    <n v="41.44"/>
  </r>
  <r>
    <s v="ORDER00140"/>
    <x v="107"/>
    <d v="2025-10-17T08:13:56"/>
    <s v="Business Card"/>
    <n v="10.69"/>
  </r>
  <r>
    <s v="ORDER00141"/>
    <x v="108"/>
    <d v="2025-06-18T08:13:56"/>
    <s v="Canvas Print"/>
    <n v="38.15"/>
  </r>
  <r>
    <s v="ORDER00142"/>
    <x v="66"/>
    <d v="2025-06-28T08:13:56"/>
    <s v="Flyer"/>
    <n v="9.8000000000000007"/>
  </r>
  <r>
    <s v="ORDER00143"/>
    <x v="85"/>
    <d v="2024-12-21T08:13:56"/>
    <s v="Photo Book"/>
    <n v="25.79"/>
  </r>
  <r>
    <s v="ORDER00144"/>
    <x v="109"/>
    <d v="2025-02-03T08:13:56"/>
    <s v="Business Card"/>
    <n v="13.24"/>
  </r>
  <r>
    <s v="ORDER00145"/>
    <x v="110"/>
    <d v="2025-06-09T08:13:56"/>
    <s v="Canvas Print"/>
    <n v="33.58"/>
  </r>
  <r>
    <s v="ORDER00146"/>
    <x v="111"/>
    <d v="2025-06-18T08:13:56"/>
    <s v="Business Card"/>
    <n v="13.87"/>
  </r>
  <r>
    <s v="ORDER00147"/>
    <x v="43"/>
    <d v="2025-06-24T08:13:56"/>
    <s v="Business Card"/>
    <n v="9.66"/>
  </r>
  <r>
    <s v="ORDER00148"/>
    <x v="99"/>
    <d v="2025-03-22T08:13:56"/>
    <s v="Business Card"/>
    <n v="11.38"/>
  </r>
  <r>
    <s v="ORDER00149"/>
    <x v="112"/>
    <d v="2025-04-19T08:13:56"/>
    <s v="Photo Book"/>
    <n v="20.27"/>
  </r>
  <r>
    <s v="ORDER00150"/>
    <x v="106"/>
    <d v="2024-11-28T08:13:56"/>
    <s v="Greeting Card"/>
    <n v="4.79"/>
  </r>
  <r>
    <s v="ORDER00151"/>
    <x v="113"/>
    <d v="2024-12-05T08:13:56"/>
    <s v="Business Card"/>
    <n v="12.12"/>
  </r>
  <r>
    <s v="ORDER00152"/>
    <x v="52"/>
    <d v="2024-11-12T08:13:56"/>
    <s v="Poster"/>
    <n v="15.07"/>
  </r>
  <r>
    <s v="ORDER00153"/>
    <x v="1"/>
    <d v="2025-04-08T08:13:56"/>
    <s v="Flyer"/>
    <n v="8.66"/>
  </r>
  <r>
    <s v="ORDER00154"/>
    <x v="114"/>
    <d v="2025-09-22T08:13:56"/>
    <s v="Photo Book"/>
    <n v="26.46"/>
  </r>
  <r>
    <s v="ORDER00155"/>
    <x v="115"/>
    <d v="2025-05-05T08:13:56"/>
    <s v="Canvas Print"/>
    <n v="32.72"/>
  </r>
  <r>
    <s v="ORDER00156"/>
    <x v="46"/>
    <d v="2025-06-30T08:13:56"/>
    <s v="Photo Book"/>
    <n v="27.62"/>
  </r>
  <r>
    <s v="ORDER00157"/>
    <x v="116"/>
    <d v="2025-01-24T08:13:56"/>
    <s v="Canvas Print"/>
    <n v="47.15"/>
  </r>
  <r>
    <s v="ORDER00158"/>
    <x v="104"/>
    <d v="2025-08-10T08:13:56"/>
    <s v="Photo Book"/>
    <n v="23.4"/>
  </r>
  <r>
    <s v="ORDER00159"/>
    <x v="117"/>
    <d v="2025-01-04T08:13:56"/>
    <s v="Canvas Print"/>
    <n v="40.28"/>
  </r>
  <r>
    <s v="ORDER00160"/>
    <x v="118"/>
    <d v="2025-04-18T08:13:56"/>
    <s v="Business Card"/>
    <n v="11.42"/>
  </r>
  <r>
    <s v="ORDER00161"/>
    <x v="10"/>
    <d v="2024-12-14T08:13:56"/>
    <s v="Greeting Card"/>
    <n v="4.01"/>
  </r>
  <r>
    <s v="ORDER00162"/>
    <x v="114"/>
    <d v="2024-12-31T08:13:56"/>
    <s v="Canvas Print"/>
    <n v="38.17"/>
  </r>
  <r>
    <s v="ORDER00163"/>
    <x v="80"/>
    <d v="2025-03-13T08:13:56"/>
    <s v="Canvas Print"/>
    <n v="44.67"/>
  </r>
  <r>
    <s v="ORDER00164"/>
    <x v="65"/>
    <d v="2025-08-10T08:13:56"/>
    <s v="Poster"/>
    <n v="15.58"/>
  </r>
  <r>
    <s v="ORDER00165"/>
    <x v="46"/>
    <d v="2024-11-27T08:13:56"/>
    <s v="Canvas Print"/>
    <n v="33.619999999999997"/>
  </r>
  <r>
    <s v="ORDER00166"/>
    <x v="119"/>
    <d v="2025-02-15T08:13:56"/>
    <s v="Poster"/>
    <n v="17.079999999999998"/>
  </r>
  <r>
    <s v="ORDER00167"/>
    <x v="118"/>
    <d v="2024-12-13T08:13:56"/>
    <s v="Flyer"/>
    <n v="10.119999999999999"/>
  </r>
  <r>
    <s v="ORDER00168"/>
    <x v="97"/>
    <d v="2025-10-05T08:13:56"/>
    <s v="Business Card"/>
    <n v="13.64"/>
  </r>
  <r>
    <s v="ORDER00169"/>
    <x v="120"/>
    <d v="2025-08-12T08:13:56"/>
    <s v="Poster"/>
    <n v="15.48"/>
  </r>
  <r>
    <s v="ORDER00170"/>
    <x v="84"/>
    <d v="2025-09-26T08:13:56"/>
    <s v="Greeting Card"/>
    <n v="5.12"/>
  </r>
  <r>
    <s v="ORDER00171"/>
    <x v="121"/>
    <d v="2025-03-07T08:13:56"/>
    <s v="Business Card"/>
    <n v="10.11"/>
  </r>
  <r>
    <s v="ORDER00172"/>
    <x v="122"/>
    <d v="2025-10-13T08:13:56"/>
    <s v="Poster"/>
    <n v="13"/>
  </r>
  <r>
    <s v="ORDER00173"/>
    <x v="123"/>
    <d v="2025-06-18T08:13:56"/>
    <s v="Business Card"/>
    <n v="14.27"/>
  </r>
  <r>
    <s v="ORDER00174"/>
    <x v="124"/>
    <d v="2025-05-08T08:13:56"/>
    <s v="Business Card"/>
    <n v="10.7"/>
  </r>
  <r>
    <s v="ORDER00175"/>
    <x v="115"/>
    <d v="2025-06-12T08:13:56"/>
    <s v="Business Card"/>
    <n v="14.29"/>
  </r>
  <r>
    <s v="ORDER00176"/>
    <x v="28"/>
    <d v="2025-08-09T08:13:56"/>
    <s v="Flyer"/>
    <n v="10.130000000000001"/>
  </r>
  <r>
    <s v="ORDER00177"/>
    <x v="125"/>
    <d v="2025-02-28T08:13:56"/>
    <s v="Greeting Card"/>
    <n v="4.2699999999999996"/>
  </r>
  <r>
    <s v="ORDER00178"/>
    <x v="126"/>
    <d v="2025-02-23T08:13:56"/>
    <s v="Photo Book"/>
    <n v="20.99"/>
  </r>
  <r>
    <s v="ORDER00179"/>
    <x v="127"/>
    <d v="2025-06-20T08:13:56"/>
    <s v="Photo Book"/>
    <n v="22.09"/>
  </r>
  <r>
    <s v="ORDER00180"/>
    <x v="97"/>
    <d v="2025-07-16T08:13:56"/>
    <s v="Poster"/>
    <n v="17.55"/>
  </r>
  <r>
    <s v="ORDER00181"/>
    <x v="33"/>
    <d v="2025-10-24T08:13:56"/>
    <s v="Business Card"/>
    <n v="11.59"/>
  </r>
  <r>
    <s v="ORDER00182"/>
    <x v="128"/>
    <d v="2025-05-16T08:13:56"/>
    <s v="Poster"/>
    <n v="14.37"/>
  </r>
  <r>
    <s v="ORDER00183"/>
    <x v="129"/>
    <d v="2025-03-16T08:13:56"/>
    <s v="Flyer"/>
    <n v="9.25"/>
  </r>
  <r>
    <s v="ORDER00184"/>
    <x v="130"/>
    <d v="2025-09-13T08:13:56"/>
    <s v="Flyer"/>
    <n v="8.59"/>
  </r>
  <r>
    <s v="ORDER00185"/>
    <x v="131"/>
    <d v="2025-04-13T08:13:56"/>
    <s v="Canvas Print"/>
    <n v="39.81"/>
  </r>
  <r>
    <s v="ORDER00186"/>
    <x v="132"/>
    <d v="2025-06-12T08:13:56"/>
    <s v="Flyer"/>
    <n v="8.52"/>
  </r>
  <r>
    <s v="ORDER00187"/>
    <x v="133"/>
    <d v="2025-09-02T08:13:56"/>
    <s v="Canvas Print"/>
    <n v="45.37"/>
  </r>
  <r>
    <s v="ORDER00188"/>
    <x v="35"/>
    <d v="2025-06-21T08:13:56"/>
    <s v="Greeting Card"/>
    <n v="4.74"/>
  </r>
  <r>
    <s v="ORDER00189"/>
    <x v="134"/>
    <d v="2025-04-20T08:13:56"/>
    <s v="Poster"/>
    <n v="14.25"/>
  </r>
  <r>
    <s v="ORDER00190"/>
    <x v="100"/>
    <d v="2025-03-31T08:13:56"/>
    <s v="Greeting Card"/>
    <n v="4.95"/>
  </r>
  <r>
    <s v="ORDER00191"/>
    <x v="135"/>
    <d v="2025-09-10T08:13:56"/>
    <s v="Flyer"/>
    <n v="9.7799999999999994"/>
  </r>
  <r>
    <s v="ORDER00192"/>
    <x v="42"/>
    <d v="2025-04-08T08:13:56"/>
    <s v="Greeting Card"/>
    <n v="5.99"/>
  </r>
  <r>
    <s v="ORDER00193"/>
    <x v="136"/>
    <d v="2025-02-03T08:13:56"/>
    <s v="Greeting Card"/>
    <n v="5.09"/>
  </r>
  <r>
    <s v="ORDER00194"/>
    <x v="137"/>
    <d v="2025-06-20T08:13:56"/>
    <s v="Greeting Card"/>
    <n v="4.18"/>
  </r>
  <r>
    <s v="ORDER00195"/>
    <x v="138"/>
    <d v="2025-04-28T08:13:56"/>
    <s v="Flyer"/>
    <n v="10.43"/>
  </r>
  <r>
    <s v="ORDER00196"/>
    <x v="100"/>
    <d v="2025-02-20T08:13:56"/>
    <s v="Business Card"/>
    <n v="10.33"/>
  </r>
  <r>
    <s v="ORDER00197"/>
    <x v="42"/>
    <d v="2025-09-13T08:13:56"/>
    <s v="Greeting Card"/>
    <n v="4.0599999999999996"/>
  </r>
  <r>
    <s v="ORDER00198"/>
    <x v="2"/>
    <d v="2024-12-21T08:13:56"/>
    <s v="Canvas Print"/>
    <n v="47.53"/>
  </r>
  <r>
    <s v="ORDER00199"/>
    <x v="139"/>
    <d v="2025-07-25T08:13:56"/>
    <s v="Flyer"/>
    <n v="11.09"/>
  </r>
  <r>
    <s v="ORDER00200"/>
    <x v="140"/>
    <d v="2025-08-21T08:13:56"/>
    <s v="Greeting Card"/>
    <n v="5.96"/>
  </r>
  <r>
    <s v="ORDER00201"/>
    <x v="141"/>
    <d v="2025-02-20T08:13:56"/>
    <s v="Business Card"/>
    <n v="11.89"/>
  </r>
  <r>
    <s v="ORDER00202"/>
    <x v="142"/>
    <d v="2025-02-08T08:13:56"/>
    <s v="Flyer"/>
    <n v="10.130000000000001"/>
  </r>
  <r>
    <s v="ORDER00203"/>
    <x v="143"/>
    <d v="2025-02-20T08:13:56"/>
    <s v="Photo Book"/>
    <n v="21.68"/>
  </r>
  <r>
    <s v="ORDER00204"/>
    <x v="144"/>
    <d v="2025-01-19T08:13:56"/>
    <s v="Business Card"/>
    <n v="10.79"/>
  </r>
  <r>
    <s v="ORDER00205"/>
    <x v="26"/>
    <d v="2025-05-05T08:13:56"/>
    <s v="Canvas Print"/>
    <n v="45.42"/>
  </r>
  <r>
    <s v="ORDER00206"/>
    <x v="54"/>
    <d v="2025-02-20T08:13:56"/>
    <s v="Greeting Card"/>
    <n v="4.71"/>
  </r>
  <r>
    <s v="ORDER00207"/>
    <x v="93"/>
    <d v="2024-11-01T08:13:56"/>
    <s v="Photo Book"/>
    <n v="28.27"/>
  </r>
  <r>
    <s v="ORDER00208"/>
    <x v="60"/>
    <d v="2025-03-09T08:13:56"/>
    <s v="Photo Book"/>
    <n v="27.09"/>
  </r>
  <r>
    <s v="ORDER00209"/>
    <x v="91"/>
    <d v="2025-06-07T08:13:56"/>
    <s v="Flyer"/>
    <n v="8.7100000000000009"/>
  </r>
  <r>
    <s v="ORDER00210"/>
    <x v="134"/>
    <d v="2024-12-23T08:13:56"/>
    <s v="Photo Book"/>
    <n v="25.07"/>
  </r>
  <r>
    <s v="ORDER00211"/>
    <x v="29"/>
    <d v="2025-10-08T08:13:56"/>
    <s v="Canvas Print"/>
    <n v="42.84"/>
  </r>
  <r>
    <s v="ORDER00212"/>
    <x v="145"/>
    <d v="2025-06-11T08:13:56"/>
    <s v="Canvas Print"/>
    <n v="35.76"/>
  </r>
  <r>
    <s v="ORDER00213"/>
    <x v="146"/>
    <d v="2025-06-12T08:13:56"/>
    <s v="Poster"/>
    <n v="16.98"/>
  </r>
  <r>
    <s v="ORDER00214"/>
    <x v="33"/>
    <d v="2025-03-05T08:13:56"/>
    <s v="Canvas Print"/>
    <n v="40.72"/>
  </r>
  <r>
    <s v="ORDER00215"/>
    <x v="42"/>
    <d v="2025-03-09T08:13:56"/>
    <s v="Business Card"/>
    <n v="10.39"/>
  </r>
  <r>
    <s v="ORDER00216"/>
    <x v="147"/>
    <d v="2024-12-22T08:13:56"/>
    <s v="Photo Book"/>
    <n v="25.83"/>
  </r>
  <r>
    <s v="ORDER00217"/>
    <x v="31"/>
    <d v="2025-04-20T08:13:56"/>
    <s v="Canvas Print"/>
    <n v="48"/>
  </r>
  <r>
    <s v="ORDER00218"/>
    <x v="99"/>
    <d v="2025-06-05T08:13:56"/>
    <s v="Flyer"/>
    <n v="8.6"/>
  </r>
  <r>
    <s v="ORDER00219"/>
    <x v="148"/>
    <d v="2025-04-08T08:13:56"/>
    <s v="Poster"/>
    <n v="16.899999999999999"/>
  </r>
  <r>
    <s v="ORDER00220"/>
    <x v="149"/>
    <d v="2025-05-16T08:13:56"/>
    <s v="Photo Book"/>
    <n v="22.07"/>
  </r>
  <r>
    <s v="ORDER00221"/>
    <x v="150"/>
    <d v="2025-07-04T08:13:56"/>
    <s v="Poster"/>
    <n v="16.690000000000001"/>
  </r>
  <r>
    <s v="ORDER00222"/>
    <x v="1"/>
    <d v="2025-09-19T08:13:56"/>
    <s v="Photo Book"/>
    <n v="27.35"/>
  </r>
  <r>
    <s v="ORDER00223"/>
    <x v="151"/>
    <d v="2025-05-21T08:13:56"/>
    <s v="Flyer"/>
    <n v="9.1999999999999993"/>
  </r>
  <r>
    <s v="ORDER00224"/>
    <x v="152"/>
    <d v="2025-05-02T08:13:56"/>
    <s v="Poster"/>
    <n v="13.95"/>
  </r>
  <r>
    <s v="ORDER00225"/>
    <x v="153"/>
    <d v="2025-03-02T08:13:56"/>
    <s v="Greeting Card"/>
    <n v="5.59"/>
  </r>
  <r>
    <s v="ORDER00226"/>
    <x v="154"/>
    <d v="2025-07-12T08:13:56"/>
    <s v="Business Card"/>
    <n v="11.81"/>
  </r>
  <r>
    <s v="ORDER00227"/>
    <x v="155"/>
    <d v="2025-08-20T08:13:56"/>
    <s v="Business Card"/>
    <n v="13.11"/>
  </r>
  <r>
    <s v="ORDER00228"/>
    <x v="115"/>
    <d v="2025-08-06T08:13:56"/>
    <s v="Photo Book"/>
    <n v="21.48"/>
  </r>
  <r>
    <s v="ORDER00229"/>
    <x v="156"/>
    <d v="2025-09-20T08:13:56"/>
    <s v="Greeting Card"/>
    <n v="5.71"/>
  </r>
  <r>
    <s v="ORDER00230"/>
    <x v="157"/>
    <d v="2025-02-05T08:13:56"/>
    <s v="Poster"/>
    <n v="16.27"/>
  </r>
  <r>
    <s v="ORDER00231"/>
    <x v="158"/>
    <d v="2025-05-16T08:13:56"/>
    <s v="Greeting Card"/>
    <n v="5.81"/>
  </r>
  <r>
    <s v="ORDER00232"/>
    <x v="159"/>
    <d v="2025-06-27T08:13:56"/>
    <s v="Greeting Card"/>
    <n v="4.26"/>
  </r>
  <r>
    <s v="ORDER00233"/>
    <x v="81"/>
    <d v="2025-03-23T08:13:56"/>
    <s v="Poster"/>
    <n v="15.56"/>
  </r>
  <r>
    <s v="ORDER00234"/>
    <x v="160"/>
    <d v="2025-02-04T08:13:56"/>
    <s v="Flyer"/>
    <n v="10.4"/>
  </r>
  <r>
    <s v="ORDER00235"/>
    <x v="161"/>
    <d v="2025-05-19T08:13:56"/>
    <s v="Greeting Card"/>
    <n v="4.71"/>
  </r>
  <r>
    <s v="ORDER00236"/>
    <x v="162"/>
    <d v="2025-03-03T08:13:56"/>
    <s v="Greeting Card"/>
    <n v="4.92"/>
  </r>
  <r>
    <s v="ORDER00237"/>
    <x v="163"/>
    <d v="2025-05-05T08:13:56"/>
    <s v="Flyer"/>
    <n v="8.15"/>
  </r>
  <r>
    <s v="ORDER00238"/>
    <x v="4"/>
    <d v="2025-09-21T08:13:56"/>
    <s v="Greeting Card"/>
    <n v="5.49"/>
  </r>
  <r>
    <s v="ORDER00239"/>
    <x v="88"/>
    <d v="2025-10-14T08:13:56"/>
    <s v="Greeting Card"/>
    <n v="5.0999999999999996"/>
  </r>
  <r>
    <s v="ORDER00240"/>
    <x v="164"/>
    <d v="2025-07-16T08:13:56"/>
    <s v="Greeting Card"/>
    <n v="4.12"/>
  </r>
  <r>
    <s v="ORDER00241"/>
    <x v="132"/>
    <d v="2025-03-27T08:13:56"/>
    <s v="Business Card"/>
    <n v="12.87"/>
  </r>
  <r>
    <s v="ORDER00242"/>
    <x v="165"/>
    <d v="2025-07-09T08:13:56"/>
    <s v="Canvas Print"/>
    <n v="39.47"/>
  </r>
  <r>
    <s v="ORDER00243"/>
    <x v="166"/>
    <d v="2025-10-11T08:13:56"/>
    <s v="Flyer"/>
    <n v="8.14"/>
  </r>
  <r>
    <s v="ORDER00244"/>
    <x v="167"/>
    <d v="2025-03-26T08:13:56"/>
    <s v="Greeting Card"/>
    <n v="5.94"/>
  </r>
  <r>
    <s v="ORDER00245"/>
    <x v="168"/>
    <d v="2025-03-27T08:13:56"/>
    <s v="Business Card"/>
    <n v="14.16"/>
  </r>
  <r>
    <s v="ORDER00246"/>
    <x v="102"/>
    <d v="2025-10-17T08:13:56"/>
    <s v="Flyer"/>
    <n v="10.050000000000001"/>
  </r>
  <r>
    <s v="ORDER00247"/>
    <x v="124"/>
    <d v="2025-05-17T08:13:56"/>
    <s v="Photo Book"/>
    <n v="20.94"/>
  </r>
  <r>
    <s v="ORDER00248"/>
    <x v="147"/>
    <d v="2025-09-03T08:13:56"/>
    <s v="Photo Book"/>
    <n v="27.55"/>
  </r>
  <r>
    <s v="ORDER00249"/>
    <x v="169"/>
    <d v="2025-03-07T08:13:56"/>
    <s v="Greeting Card"/>
    <n v="4.9800000000000004"/>
  </r>
  <r>
    <s v="ORDER00250"/>
    <x v="121"/>
    <d v="2024-12-08T08:13:56"/>
    <s v="Business Card"/>
    <n v="11.05"/>
  </r>
  <r>
    <s v="ORDER00251"/>
    <x v="110"/>
    <d v="2025-10-03T08:13:56"/>
    <s v="Business Card"/>
    <n v="11.96"/>
  </r>
  <r>
    <s v="ORDER00252"/>
    <x v="120"/>
    <d v="2025-10-25T08:13:56"/>
    <s v="Flyer"/>
    <n v="10.09"/>
  </r>
  <r>
    <s v="ORDER00253"/>
    <x v="170"/>
    <d v="2025-03-08T08:13:56"/>
    <s v="Flyer"/>
    <n v="10.25"/>
  </r>
  <r>
    <s v="ORDER00254"/>
    <x v="74"/>
    <d v="2025-07-24T08:13:56"/>
    <s v="Business Card"/>
    <n v="11.72"/>
  </r>
  <r>
    <s v="ORDER00255"/>
    <x v="170"/>
    <d v="2025-03-30T08:13:56"/>
    <s v="Flyer"/>
    <n v="10.42"/>
  </r>
  <r>
    <s v="ORDER00256"/>
    <x v="41"/>
    <d v="2025-08-24T08:13:56"/>
    <s v="Business Card"/>
    <n v="14.01"/>
  </r>
  <r>
    <s v="ORDER00257"/>
    <x v="171"/>
    <d v="2025-02-06T08:13:56"/>
    <s v="Canvas Print"/>
    <n v="37.799999999999997"/>
  </r>
  <r>
    <s v="ORDER00258"/>
    <x v="172"/>
    <d v="2025-07-20T08:13:56"/>
    <s v="Business Card"/>
    <n v="13.08"/>
  </r>
  <r>
    <s v="ORDER00259"/>
    <x v="37"/>
    <d v="2025-07-09T08:13:56"/>
    <s v="Photo Book"/>
    <n v="28.94"/>
  </r>
  <r>
    <s v="ORDER00260"/>
    <x v="173"/>
    <d v="2025-03-23T08:13:56"/>
    <s v="Flyer"/>
    <n v="9.82"/>
  </r>
  <r>
    <s v="ORDER00261"/>
    <x v="174"/>
    <d v="2025-10-11T08:13:56"/>
    <s v="Business Card"/>
    <n v="11.73"/>
  </r>
  <r>
    <s v="ORDER00262"/>
    <x v="175"/>
    <d v="2025-02-19T08:13:56"/>
    <s v="Business Card"/>
    <n v="12.49"/>
  </r>
  <r>
    <s v="ORDER00263"/>
    <x v="176"/>
    <d v="2024-12-29T08:13:56"/>
    <s v="Flyer"/>
    <n v="10.37"/>
  </r>
  <r>
    <s v="ORDER00264"/>
    <x v="177"/>
    <d v="2024-11-01T08:13:56"/>
    <s v="Canvas Print"/>
    <n v="44.91"/>
  </r>
  <r>
    <s v="ORDER00265"/>
    <x v="178"/>
    <d v="2025-08-30T08:13:56"/>
    <s v="Canvas Print"/>
    <n v="39.619999999999997"/>
  </r>
  <r>
    <s v="ORDER00266"/>
    <x v="104"/>
    <d v="2025-07-11T08:13:56"/>
    <s v="Flyer"/>
    <n v="11.98"/>
  </r>
  <r>
    <s v="ORDER00267"/>
    <x v="94"/>
    <d v="2025-03-19T08:13:56"/>
    <s v="Poster"/>
    <n v="12.36"/>
  </r>
  <r>
    <s v="ORDER00268"/>
    <x v="179"/>
    <d v="2024-12-06T08:13:56"/>
    <s v="Flyer"/>
    <n v="8.01"/>
  </r>
  <r>
    <s v="ORDER00269"/>
    <x v="180"/>
    <d v="2025-04-08T08:13:56"/>
    <s v="Flyer"/>
    <n v="10.56"/>
  </r>
  <r>
    <s v="ORDER00270"/>
    <x v="121"/>
    <d v="2024-11-08T08:13:56"/>
    <s v="Canvas Print"/>
    <n v="36.770000000000003"/>
  </r>
  <r>
    <s v="ORDER00271"/>
    <x v="88"/>
    <d v="2025-06-20T08:13:56"/>
    <s v="Canvas Print"/>
    <n v="35.85"/>
  </r>
  <r>
    <s v="ORDER00272"/>
    <x v="108"/>
    <d v="2025-02-06T08:13:56"/>
    <s v="Flyer"/>
    <n v="9.25"/>
  </r>
  <r>
    <s v="ORDER00273"/>
    <x v="181"/>
    <d v="2025-03-26T08:13:56"/>
    <s v="Flyer"/>
    <n v="9.02"/>
  </r>
  <r>
    <s v="ORDER00274"/>
    <x v="110"/>
    <d v="2025-08-30T08:13:56"/>
    <s v="Flyer"/>
    <n v="8.1199999999999992"/>
  </r>
  <r>
    <s v="ORDER00275"/>
    <x v="38"/>
    <d v="2025-05-26T08:13:56"/>
    <s v="Canvas Print"/>
    <n v="47.54"/>
  </r>
  <r>
    <s v="ORDER00276"/>
    <x v="182"/>
    <d v="2025-03-10T08:13:56"/>
    <s v="Flyer"/>
    <n v="8.8800000000000008"/>
  </r>
  <r>
    <s v="ORDER00277"/>
    <x v="183"/>
    <d v="2025-03-31T08:13:56"/>
    <s v="Flyer"/>
    <n v="10.94"/>
  </r>
  <r>
    <s v="ORDER00278"/>
    <x v="109"/>
    <d v="2024-12-23T08:13:56"/>
    <s v="Greeting Card"/>
    <n v="5.53"/>
  </r>
  <r>
    <s v="ORDER00279"/>
    <x v="31"/>
    <d v="2025-02-27T08:13:56"/>
    <s v="Poster"/>
    <n v="17.579999999999998"/>
  </r>
  <r>
    <s v="ORDER00280"/>
    <x v="48"/>
    <d v="2025-04-09T08:13:56"/>
    <s v="Photo Book"/>
    <n v="20.309999999999999"/>
  </r>
  <r>
    <s v="ORDER00281"/>
    <x v="20"/>
    <d v="2025-02-23T08:13:56"/>
    <s v="Poster"/>
    <n v="17.23"/>
  </r>
  <r>
    <s v="ORDER00282"/>
    <x v="138"/>
    <d v="2025-01-13T08:13:56"/>
    <s v="Greeting Card"/>
    <n v="5.05"/>
  </r>
  <r>
    <s v="ORDER00283"/>
    <x v="103"/>
    <d v="2025-02-20T08:13:56"/>
    <s v="Photo Book"/>
    <n v="26.33"/>
  </r>
  <r>
    <s v="ORDER00284"/>
    <x v="184"/>
    <d v="2025-02-11T08:13:56"/>
    <s v="Flyer"/>
    <n v="10.58"/>
  </r>
  <r>
    <s v="ORDER00285"/>
    <x v="92"/>
    <d v="2025-10-05T08:13:56"/>
    <s v="Greeting Card"/>
    <n v="5.64"/>
  </r>
  <r>
    <s v="ORDER00286"/>
    <x v="53"/>
    <d v="2025-07-11T08:13:56"/>
    <s v="Flyer"/>
    <n v="9.33"/>
  </r>
  <r>
    <s v="ORDER00287"/>
    <x v="185"/>
    <d v="2025-06-14T08:13:56"/>
    <s v="Canvas Print"/>
    <n v="43.73"/>
  </r>
  <r>
    <s v="ORDER00288"/>
    <x v="8"/>
    <d v="2025-02-19T08:13:56"/>
    <s v="Business Card"/>
    <n v="12.14"/>
  </r>
  <r>
    <s v="ORDER00289"/>
    <x v="180"/>
    <d v="2025-02-06T08:13:56"/>
    <s v="Greeting Card"/>
    <n v="5.59"/>
  </r>
  <r>
    <s v="ORDER00290"/>
    <x v="186"/>
    <d v="2025-04-01T08:13:56"/>
    <s v="Canvas Print"/>
    <n v="47.85"/>
  </r>
  <r>
    <s v="ORDER00291"/>
    <x v="37"/>
    <d v="2025-10-14T08:13:56"/>
    <s v="Greeting Card"/>
    <n v="4.4000000000000004"/>
  </r>
  <r>
    <s v="ORDER00292"/>
    <x v="73"/>
    <d v="2025-10-03T08:13:56"/>
    <s v="Greeting Card"/>
    <n v="5.99"/>
  </r>
  <r>
    <s v="ORDER00293"/>
    <x v="187"/>
    <d v="2025-05-12T08:13:56"/>
    <s v="Canvas Print"/>
    <n v="33.44"/>
  </r>
  <r>
    <s v="ORDER00294"/>
    <x v="188"/>
    <d v="2025-09-05T08:13:56"/>
    <s v="Photo Book"/>
    <n v="20.02"/>
  </r>
  <r>
    <s v="ORDER00295"/>
    <x v="189"/>
    <d v="2025-04-11T08:13:56"/>
    <s v="Poster"/>
    <n v="12.26"/>
  </r>
  <r>
    <s v="ORDER00296"/>
    <x v="190"/>
    <d v="2025-05-26T08:13:56"/>
    <s v="Flyer"/>
    <n v="9.3699999999999992"/>
  </r>
  <r>
    <s v="ORDER00297"/>
    <x v="9"/>
    <d v="2025-04-17T08:13:56"/>
    <s v="Greeting Card"/>
    <n v="5.27"/>
  </r>
  <r>
    <s v="ORDER00298"/>
    <x v="191"/>
    <d v="2025-04-09T08:13:56"/>
    <s v="Flyer"/>
    <n v="8.2799999999999994"/>
  </r>
  <r>
    <s v="ORDER00299"/>
    <x v="192"/>
    <d v="2025-01-06T08:13:56"/>
    <s v="Business Card"/>
    <n v="9.6300000000000008"/>
  </r>
  <r>
    <s v="ORDER00300"/>
    <x v="76"/>
    <d v="2025-08-15T08:13:56"/>
    <s v="Canvas Print"/>
    <n v="46.99"/>
  </r>
  <r>
    <s v="ORDER00301"/>
    <x v="77"/>
    <d v="2025-08-03T08:13:56"/>
    <s v="Flyer"/>
    <n v="11.29"/>
  </r>
  <r>
    <s v="ORDER00302"/>
    <x v="94"/>
    <d v="2025-08-30T08:13:56"/>
    <s v="Canvas Print"/>
    <n v="44.95"/>
  </r>
  <r>
    <s v="ORDER00303"/>
    <x v="101"/>
    <d v="2025-03-14T08:13:56"/>
    <s v="Flyer"/>
    <n v="11.54"/>
  </r>
  <r>
    <s v="ORDER00304"/>
    <x v="25"/>
    <d v="2025-05-13T08:13:56"/>
    <s v="Poster"/>
    <n v="16.2"/>
  </r>
  <r>
    <s v="ORDER00305"/>
    <x v="23"/>
    <d v="2025-03-07T08:13:56"/>
    <s v="Poster"/>
    <n v="12.63"/>
  </r>
  <r>
    <s v="ORDER00306"/>
    <x v="81"/>
    <d v="2024-12-02T08:13:56"/>
    <s v="Poster"/>
    <n v="14.39"/>
  </r>
  <r>
    <s v="ORDER00307"/>
    <x v="193"/>
    <d v="2025-04-24T08:13:56"/>
    <s v="Poster"/>
    <n v="16.34"/>
  </r>
  <r>
    <s v="ORDER00308"/>
    <x v="130"/>
    <d v="2024-11-21T08:13:56"/>
    <s v="Poster"/>
    <n v="13.68"/>
  </r>
  <r>
    <s v="ORDER00309"/>
    <x v="194"/>
    <d v="2025-06-25T08:13:56"/>
    <s v="Poster"/>
    <n v="16.12"/>
  </r>
  <r>
    <s v="ORDER00310"/>
    <x v="39"/>
    <d v="2025-04-06T08:13:56"/>
    <s v="Canvas Print"/>
    <n v="32.39"/>
  </r>
  <r>
    <s v="ORDER00311"/>
    <x v="195"/>
    <d v="2024-12-07T08:13:56"/>
    <s v="Greeting Card"/>
    <n v="4.6100000000000003"/>
  </r>
  <r>
    <s v="ORDER00312"/>
    <x v="196"/>
    <d v="2025-06-17T08:13:56"/>
    <s v="Flyer"/>
    <n v="10.199999999999999"/>
  </r>
  <r>
    <s v="ORDER00313"/>
    <x v="180"/>
    <d v="2025-10-30T08:13:56"/>
    <s v="Poster"/>
    <n v="15.79"/>
  </r>
  <r>
    <s v="ORDER00314"/>
    <x v="100"/>
    <d v="2024-12-20T08:13:56"/>
    <s v="Canvas Print"/>
    <n v="41.23"/>
  </r>
  <r>
    <s v="ORDER00315"/>
    <x v="56"/>
    <d v="2025-07-21T08:13:56"/>
    <s v="Canvas Print"/>
    <n v="43.16"/>
  </r>
  <r>
    <s v="ORDER00316"/>
    <x v="112"/>
    <d v="2025-08-09T08:13:56"/>
    <s v="Canvas Print"/>
    <n v="32.1"/>
  </r>
  <r>
    <s v="ORDER00317"/>
    <x v="175"/>
    <d v="2024-11-26T08:13:56"/>
    <s v="Greeting Card"/>
    <n v="4.2"/>
  </r>
  <r>
    <s v="ORDER00318"/>
    <x v="17"/>
    <d v="2025-06-13T08:13:56"/>
    <s v="Flyer"/>
    <n v="11.48"/>
  </r>
  <r>
    <s v="ORDER00319"/>
    <x v="58"/>
    <d v="2025-08-03T08:13:56"/>
    <s v="Greeting Card"/>
    <n v="5.36"/>
  </r>
  <r>
    <s v="ORDER00320"/>
    <x v="197"/>
    <d v="2025-08-12T08:13:56"/>
    <s v="Photo Book"/>
    <n v="21.13"/>
  </r>
  <r>
    <s v="ORDER00321"/>
    <x v="155"/>
    <d v="2025-02-04T08:13:56"/>
    <s v="Canvas Print"/>
    <n v="45.47"/>
  </r>
  <r>
    <s v="ORDER00322"/>
    <x v="144"/>
    <d v="2025-08-10T08:13:56"/>
    <s v="Photo Book"/>
    <n v="22.42"/>
  </r>
  <r>
    <s v="ORDER00323"/>
    <x v="80"/>
    <d v="2025-09-12T08:13:56"/>
    <s v="Business Card"/>
    <n v="11.9"/>
  </r>
  <r>
    <s v="ORDER00324"/>
    <x v="196"/>
    <d v="2025-08-30T08:13:56"/>
    <s v="Poster"/>
    <n v="12.87"/>
  </r>
  <r>
    <s v="ORDER00325"/>
    <x v="105"/>
    <d v="2025-03-26T08:13:56"/>
    <s v="Poster"/>
    <n v="16.260000000000002"/>
  </r>
  <r>
    <s v="ORDER00326"/>
    <x v="174"/>
    <d v="2024-11-03T08:13:56"/>
    <s v="Greeting Card"/>
    <n v="5.33"/>
  </r>
  <r>
    <s v="ORDER00327"/>
    <x v="104"/>
    <d v="2024-12-04T08:13:56"/>
    <s v="Flyer"/>
    <n v="8.84"/>
  </r>
  <r>
    <s v="ORDER00328"/>
    <x v="198"/>
    <d v="2025-05-10T08:13:56"/>
    <s v="Photo Book"/>
    <n v="28.63"/>
  </r>
  <r>
    <s v="ORDER00329"/>
    <x v="174"/>
    <d v="2024-12-18T08:13:56"/>
    <s v="Flyer"/>
    <n v="9.61"/>
  </r>
  <r>
    <s v="ORDER00330"/>
    <x v="23"/>
    <d v="2024-11-16T08:13:56"/>
    <s v="Greeting Card"/>
    <n v="4.59"/>
  </r>
  <r>
    <s v="ORDER00331"/>
    <x v="109"/>
    <d v="2025-04-20T08:13:56"/>
    <s v="Poster"/>
    <n v="12.91"/>
  </r>
  <r>
    <s v="ORDER00332"/>
    <x v="199"/>
    <d v="2025-06-07T08:13:56"/>
    <s v="Flyer"/>
    <n v="9.06"/>
  </r>
  <r>
    <s v="ORDER00333"/>
    <x v="200"/>
    <d v="2025-04-06T08:13:56"/>
    <s v="Flyer"/>
    <n v="8.09"/>
  </r>
  <r>
    <s v="ORDER00334"/>
    <x v="201"/>
    <d v="2024-12-15T08:13:56"/>
    <s v="Poster"/>
    <n v="15.5"/>
  </r>
  <r>
    <s v="ORDER00335"/>
    <x v="40"/>
    <d v="2024-11-05T08:13:56"/>
    <s v="Photo Book"/>
    <n v="28.42"/>
  </r>
  <r>
    <s v="ORDER00336"/>
    <x v="38"/>
    <d v="2025-02-06T08:13:56"/>
    <s v="Poster"/>
    <n v="15.29"/>
  </r>
  <r>
    <s v="ORDER00337"/>
    <x v="106"/>
    <d v="2025-06-20T08:13:56"/>
    <s v="Flyer"/>
    <n v="8.8800000000000008"/>
  </r>
  <r>
    <s v="ORDER00338"/>
    <x v="51"/>
    <d v="2024-12-06T08:13:56"/>
    <s v="Photo Book"/>
    <n v="20.34"/>
  </r>
  <r>
    <s v="ORDER00339"/>
    <x v="29"/>
    <d v="2025-08-06T08:13:56"/>
    <s v="Photo Book"/>
    <n v="22.15"/>
  </r>
  <r>
    <s v="ORDER00340"/>
    <x v="135"/>
    <d v="2025-10-14T08:13:56"/>
    <s v="Poster"/>
    <n v="14.5"/>
  </r>
  <r>
    <s v="ORDER00341"/>
    <x v="26"/>
    <d v="2025-08-28T08:13:56"/>
    <s v="Flyer"/>
    <n v="11.04"/>
  </r>
  <r>
    <s v="ORDER00342"/>
    <x v="202"/>
    <d v="2025-04-29T08:13:56"/>
    <s v="Greeting Card"/>
    <n v="4.38"/>
  </r>
  <r>
    <s v="ORDER00343"/>
    <x v="6"/>
    <d v="2025-02-02T08:13:56"/>
    <s v="Flyer"/>
    <n v="10.88"/>
  </r>
  <r>
    <s v="ORDER00344"/>
    <x v="203"/>
    <d v="2025-02-06T08:13:56"/>
    <s v="Canvas Print"/>
    <n v="45.87"/>
  </r>
  <r>
    <s v="ORDER00345"/>
    <x v="204"/>
    <d v="2025-05-06T08:13:56"/>
    <s v="Business Card"/>
    <n v="11.78"/>
  </r>
  <r>
    <s v="ORDER00346"/>
    <x v="205"/>
    <d v="2025-02-23T08:13:56"/>
    <s v="Greeting Card"/>
    <n v="5.64"/>
  </r>
  <r>
    <s v="ORDER00347"/>
    <x v="11"/>
    <d v="2025-05-09T08:13:56"/>
    <s v="Photo Book"/>
    <n v="25.55"/>
  </r>
  <r>
    <s v="ORDER00348"/>
    <x v="206"/>
    <d v="2025-07-10T08:13:56"/>
    <s v="Greeting Card"/>
    <n v="5.27"/>
  </r>
  <r>
    <s v="ORDER00349"/>
    <x v="109"/>
    <d v="2025-04-09T08:13:56"/>
    <s v="Photo Book"/>
    <n v="25.26"/>
  </r>
  <r>
    <s v="ORDER00350"/>
    <x v="207"/>
    <d v="2025-07-13T08:13:56"/>
    <s v="Photo Book"/>
    <n v="24.63"/>
  </r>
  <r>
    <s v="ORDER00351"/>
    <x v="204"/>
    <d v="2025-09-18T08:13:56"/>
    <s v="Greeting Card"/>
    <n v="4.47"/>
  </r>
  <r>
    <s v="ORDER00352"/>
    <x v="208"/>
    <d v="2025-03-07T08:13:56"/>
    <s v="Photo Book"/>
    <n v="23.03"/>
  </r>
  <r>
    <s v="ORDER00353"/>
    <x v="69"/>
    <d v="2024-11-17T08:13:56"/>
    <s v="Photo Book"/>
    <n v="22.9"/>
  </r>
  <r>
    <s v="ORDER00354"/>
    <x v="134"/>
    <d v="2025-08-07T08:13:56"/>
    <s v="Canvas Print"/>
    <n v="41.01"/>
  </r>
  <r>
    <s v="ORDER00355"/>
    <x v="101"/>
    <d v="2025-06-10T08:13:56"/>
    <s v="Flyer"/>
    <n v="8.48"/>
  </r>
  <r>
    <s v="ORDER00356"/>
    <x v="168"/>
    <d v="2024-12-23T08:13:56"/>
    <s v="Flyer"/>
    <n v="11.67"/>
  </r>
  <r>
    <s v="ORDER00357"/>
    <x v="121"/>
    <d v="2024-12-27T08:13:56"/>
    <s v="Business Card"/>
    <n v="13.06"/>
  </r>
  <r>
    <s v="ORDER00358"/>
    <x v="52"/>
    <d v="2025-09-18T08:13:56"/>
    <s v="Business Card"/>
    <n v="11.53"/>
  </r>
  <r>
    <s v="ORDER00359"/>
    <x v="82"/>
    <d v="2025-10-25T08:13:56"/>
    <s v="Canvas Print"/>
    <n v="34.54"/>
  </r>
  <r>
    <s v="ORDER00360"/>
    <x v="106"/>
    <d v="2025-04-22T08:13:56"/>
    <s v="Business Card"/>
    <n v="13.83"/>
  </r>
  <r>
    <s v="ORDER00361"/>
    <x v="36"/>
    <d v="2025-08-06T08:13:56"/>
    <s v="Greeting Card"/>
    <n v="5.65"/>
  </r>
  <r>
    <s v="ORDER00362"/>
    <x v="186"/>
    <d v="2025-02-21T08:13:56"/>
    <s v="Poster"/>
    <n v="16.329999999999998"/>
  </r>
  <r>
    <s v="ORDER00363"/>
    <x v="47"/>
    <d v="2025-08-14T08:13:56"/>
    <s v="Poster"/>
    <n v="13.63"/>
  </r>
  <r>
    <s v="ORDER00364"/>
    <x v="169"/>
    <d v="2025-10-07T08:13:56"/>
    <s v="Poster"/>
    <n v="14.41"/>
  </r>
  <r>
    <s v="ORDER00365"/>
    <x v="209"/>
    <d v="2025-03-30T08:13:56"/>
    <s v="Canvas Print"/>
    <n v="33.64"/>
  </r>
  <r>
    <s v="ORDER00366"/>
    <x v="72"/>
    <d v="2025-03-06T08:13:56"/>
    <s v="Canvas Print"/>
    <n v="35.020000000000003"/>
  </r>
  <r>
    <s v="ORDER00367"/>
    <x v="42"/>
    <d v="2025-04-03T08:13:56"/>
    <s v="Photo Book"/>
    <n v="27.83"/>
  </r>
  <r>
    <s v="ORDER00368"/>
    <x v="136"/>
    <d v="2025-07-30T08:13:56"/>
    <s v="Poster"/>
    <n v="16.29"/>
  </r>
  <r>
    <s v="ORDER00369"/>
    <x v="210"/>
    <d v="2025-02-11T08:13:56"/>
    <s v="Greeting Card"/>
    <n v="5.19"/>
  </r>
  <r>
    <s v="ORDER00370"/>
    <x v="211"/>
    <d v="2025-08-25T08:13:56"/>
    <s v="Business Card"/>
    <n v="13.9"/>
  </r>
  <r>
    <s v="ORDER00371"/>
    <x v="77"/>
    <d v="2025-07-03T08:13:56"/>
    <s v="Greeting Card"/>
    <n v="5.17"/>
  </r>
  <r>
    <s v="ORDER00372"/>
    <x v="63"/>
    <d v="2025-04-24T08:13:56"/>
    <s v="Business Card"/>
    <n v="11.84"/>
  </r>
  <r>
    <s v="ORDER00373"/>
    <x v="197"/>
    <d v="2024-12-08T08:13:56"/>
    <s v="Poster"/>
    <n v="14.04"/>
  </r>
  <r>
    <s v="ORDER00374"/>
    <x v="27"/>
    <d v="2025-04-18T08:13:56"/>
    <s v="Poster"/>
    <n v="17.64"/>
  </r>
  <r>
    <s v="ORDER00375"/>
    <x v="103"/>
    <d v="2025-07-04T08:13:56"/>
    <s v="Poster"/>
    <n v="12.5"/>
  </r>
  <r>
    <s v="ORDER00376"/>
    <x v="149"/>
    <d v="2024-11-25T08:13:56"/>
    <s v="Canvas Print"/>
    <n v="46.89"/>
  </r>
  <r>
    <s v="ORDER00377"/>
    <x v="19"/>
    <d v="2025-10-20T08:13:56"/>
    <s v="Business Card"/>
    <n v="13.57"/>
  </r>
  <r>
    <s v="ORDER00378"/>
    <x v="212"/>
    <d v="2025-09-01T08:13:56"/>
    <s v="Canvas Print"/>
    <n v="34.08"/>
  </r>
  <r>
    <s v="ORDER00379"/>
    <x v="121"/>
    <d v="2024-11-12T08:13:56"/>
    <s v="Canvas Print"/>
    <n v="41.04"/>
  </r>
  <r>
    <s v="ORDER00380"/>
    <x v="157"/>
    <d v="2025-09-11T08:13:56"/>
    <s v="Flyer"/>
    <n v="11.47"/>
  </r>
  <r>
    <s v="ORDER00381"/>
    <x v="148"/>
    <d v="2025-09-08T08:13:56"/>
    <s v="Greeting Card"/>
    <n v="5.14"/>
  </r>
  <r>
    <s v="ORDER00382"/>
    <x v="213"/>
    <d v="2024-12-05T08:13:56"/>
    <s v="Greeting Card"/>
    <n v="5.81"/>
  </r>
  <r>
    <s v="ORDER00383"/>
    <x v="12"/>
    <d v="2025-04-21T08:13:56"/>
    <s v="Photo Book"/>
    <n v="29.43"/>
  </r>
  <r>
    <s v="ORDER00384"/>
    <x v="41"/>
    <d v="2024-11-19T08:13:56"/>
    <s v="Canvas Print"/>
    <n v="38.76"/>
  </r>
  <r>
    <s v="ORDER00385"/>
    <x v="67"/>
    <d v="2025-09-16T08:13:56"/>
    <s v="Business Card"/>
    <n v="11.41"/>
  </r>
  <r>
    <s v="ORDER00386"/>
    <x v="112"/>
    <d v="2025-07-21T08:13:56"/>
    <s v="Flyer"/>
    <n v="11.75"/>
  </r>
  <r>
    <s v="ORDER00387"/>
    <x v="202"/>
    <d v="2025-03-21T08:13:56"/>
    <s v="Flyer"/>
    <n v="10.7"/>
  </r>
  <r>
    <s v="ORDER00388"/>
    <x v="156"/>
    <d v="2025-03-22T08:13:56"/>
    <s v="Greeting Card"/>
    <n v="4.2300000000000004"/>
  </r>
  <r>
    <s v="ORDER00389"/>
    <x v="180"/>
    <d v="2025-01-30T08:13:56"/>
    <s v="Canvas Print"/>
    <n v="32.68"/>
  </r>
  <r>
    <s v="ORDER00390"/>
    <x v="135"/>
    <d v="2025-10-19T08:13:56"/>
    <s v="Photo Book"/>
    <n v="25.65"/>
  </r>
  <r>
    <s v="ORDER00391"/>
    <x v="88"/>
    <d v="2025-09-17T08:13:56"/>
    <s v="Canvas Print"/>
    <n v="46.88"/>
  </r>
  <r>
    <s v="ORDER00392"/>
    <x v="86"/>
    <d v="2025-08-14T08:13:56"/>
    <s v="Poster"/>
    <n v="17.07"/>
  </r>
  <r>
    <s v="ORDER00393"/>
    <x v="214"/>
    <d v="2025-06-02T08:13:56"/>
    <s v="Canvas Print"/>
    <n v="42.81"/>
  </r>
  <r>
    <s v="ORDER00394"/>
    <x v="51"/>
    <d v="2025-10-07T08:13:56"/>
    <s v="Poster"/>
    <n v="12.83"/>
  </r>
  <r>
    <s v="ORDER00395"/>
    <x v="55"/>
    <d v="2024-12-20T08:13:56"/>
    <s v="Poster"/>
    <n v="13.53"/>
  </r>
  <r>
    <s v="ORDER00396"/>
    <x v="178"/>
    <d v="2025-04-01T08:13:56"/>
    <s v="Photo Book"/>
    <n v="28.76"/>
  </r>
  <r>
    <s v="ORDER00397"/>
    <x v="85"/>
    <d v="2025-05-04T08:13:56"/>
    <s v="Business Card"/>
    <n v="10.48"/>
  </r>
  <r>
    <s v="ORDER00398"/>
    <x v="1"/>
    <d v="2025-01-01T08:13:56"/>
    <s v="Greeting Card"/>
    <n v="4.5599999999999996"/>
  </r>
  <r>
    <s v="ORDER00399"/>
    <x v="210"/>
    <d v="2025-05-08T08:13:56"/>
    <s v="Canvas Print"/>
    <n v="34.07"/>
  </r>
  <r>
    <s v="ORDER00400"/>
    <x v="202"/>
    <d v="2025-03-04T08:13:56"/>
    <s v="Poster"/>
    <n v="16.059999999999999"/>
  </r>
  <r>
    <s v="ORDER00401"/>
    <x v="196"/>
    <d v="2025-03-29T08:13:56"/>
    <s v="Canvas Print"/>
    <n v="47.1"/>
  </r>
  <r>
    <s v="ORDER00402"/>
    <x v="215"/>
    <d v="2025-09-09T08:13:56"/>
    <s v="Business Card"/>
    <n v="10.89"/>
  </r>
  <r>
    <s v="ORDER00403"/>
    <x v="183"/>
    <d v="2024-12-27T08:13:56"/>
    <s v="Greeting Card"/>
    <n v="4.95"/>
  </r>
  <r>
    <s v="ORDER00404"/>
    <x v="111"/>
    <d v="2025-10-07T08:13:56"/>
    <s v="Business Card"/>
    <n v="12.64"/>
  </r>
  <r>
    <s v="ORDER00405"/>
    <x v="140"/>
    <d v="2025-08-31T08:13:56"/>
    <s v="Greeting Card"/>
    <n v="6"/>
  </r>
  <r>
    <s v="ORDER00406"/>
    <x v="216"/>
    <d v="2025-04-28T08:13:56"/>
    <s v="Flyer"/>
    <n v="8.42"/>
  </r>
  <r>
    <s v="ORDER00407"/>
    <x v="84"/>
    <d v="2025-04-18T08:13:56"/>
    <s v="Greeting Card"/>
    <n v="5"/>
  </r>
  <r>
    <s v="ORDER00408"/>
    <x v="217"/>
    <d v="2025-09-21T08:13:56"/>
    <s v="Photo Book"/>
    <n v="23.85"/>
  </r>
  <r>
    <s v="ORDER00409"/>
    <x v="145"/>
    <d v="2025-07-28T08:13:56"/>
    <s v="Business Card"/>
    <n v="13.76"/>
  </r>
  <r>
    <s v="ORDER00410"/>
    <x v="196"/>
    <d v="2024-12-23T08:13:56"/>
    <s v="Poster"/>
    <n v="14.86"/>
  </r>
  <r>
    <s v="ORDER00411"/>
    <x v="51"/>
    <d v="2025-02-08T08:13:56"/>
    <s v="Flyer"/>
    <n v="8.44"/>
  </r>
  <r>
    <s v="ORDER00412"/>
    <x v="94"/>
    <d v="2025-07-21T08:13:56"/>
    <s v="Photo Book"/>
    <n v="26.34"/>
  </r>
  <r>
    <s v="ORDER00413"/>
    <x v="218"/>
    <d v="2024-12-22T08:13:56"/>
    <s v="Canvas Print"/>
    <n v="44.33"/>
  </r>
  <r>
    <s v="ORDER00414"/>
    <x v="18"/>
    <d v="2024-12-29T08:13:56"/>
    <s v="Business Card"/>
    <n v="9.61"/>
  </r>
  <r>
    <s v="ORDER00415"/>
    <x v="219"/>
    <d v="2025-02-15T08:13:56"/>
    <s v="Poster"/>
    <n v="17.149999999999999"/>
  </r>
  <r>
    <s v="ORDER00416"/>
    <x v="220"/>
    <d v="2024-11-04T08:13:56"/>
    <s v="Greeting Card"/>
    <n v="4.37"/>
  </r>
  <r>
    <s v="ORDER00417"/>
    <x v="18"/>
    <d v="2025-02-10T08:13:56"/>
    <s v="Poster"/>
    <n v="15.31"/>
  </r>
  <r>
    <s v="ORDER00418"/>
    <x v="144"/>
    <d v="2025-05-14T08:13:56"/>
    <s v="Canvas Print"/>
    <n v="38.65"/>
  </r>
  <r>
    <s v="ORDER00419"/>
    <x v="136"/>
    <d v="2025-07-19T08:13:56"/>
    <s v="Flyer"/>
    <n v="10.88"/>
  </r>
  <r>
    <s v="ORDER00420"/>
    <x v="221"/>
    <d v="2025-10-30T08:13:56"/>
    <s v="Flyer"/>
    <n v="9.48"/>
  </r>
  <r>
    <s v="ORDER00421"/>
    <x v="114"/>
    <d v="2025-10-15T08:13:56"/>
    <s v="Business Card"/>
    <n v="13.77"/>
  </r>
  <r>
    <s v="ORDER00422"/>
    <x v="222"/>
    <d v="2024-12-16T08:13:56"/>
    <s v="Flyer"/>
    <n v="10.92"/>
  </r>
  <r>
    <s v="ORDER00423"/>
    <x v="223"/>
    <d v="2025-10-20T08:13:56"/>
    <s v="Business Card"/>
    <n v="12.71"/>
  </r>
  <r>
    <s v="ORDER00424"/>
    <x v="124"/>
    <d v="2025-09-06T08:13:56"/>
    <s v="Business Card"/>
    <n v="13.42"/>
  </r>
  <r>
    <s v="ORDER00425"/>
    <x v="181"/>
    <d v="2025-09-03T08:13:56"/>
    <s v="Business Card"/>
    <n v="13.22"/>
  </r>
  <r>
    <s v="ORDER00426"/>
    <x v="88"/>
    <d v="2025-03-23T08:13:56"/>
    <s v="Greeting Card"/>
    <n v="4.07"/>
  </r>
  <r>
    <s v="ORDER00427"/>
    <x v="48"/>
    <d v="2025-07-26T08:13:56"/>
    <s v="Photo Book"/>
    <n v="23.95"/>
  </r>
  <r>
    <s v="ORDER00428"/>
    <x v="191"/>
    <d v="2025-03-03T08:13:56"/>
    <s v="Business Card"/>
    <n v="14.07"/>
  </r>
  <r>
    <s v="ORDER00429"/>
    <x v="198"/>
    <d v="2025-02-13T08:13:56"/>
    <s v="Business Card"/>
    <n v="10.199999999999999"/>
  </r>
  <r>
    <s v="ORDER00430"/>
    <x v="224"/>
    <d v="2025-04-06T08:13:56"/>
    <s v="Photo Book"/>
    <n v="27.37"/>
  </r>
  <r>
    <s v="ORDER00431"/>
    <x v="194"/>
    <d v="2025-03-26T08:13:56"/>
    <s v="Poster"/>
    <n v="17.850000000000001"/>
  </r>
  <r>
    <s v="ORDER00432"/>
    <x v="88"/>
    <d v="2025-03-24T08:13:56"/>
    <s v="Business Card"/>
    <n v="9.85"/>
  </r>
  <r>
    <s v="ORDER00433"/>
    <x v="201"/>
    <d v="2025-02-27T08:13:56"/>
    <s v="Greeting Card"/>
    <n v="5.36"/>
  </r>
  <r>
    <s v="ORDER00434"/>
    <x v="52"/>
    <d v="2025-09-14T08:13:56"/>
    <s v="Flyer"/>
    <n v="9.8699999999999992"/>
  </r>
  <r>
    <s v="ORDER00435"/>
    <x v="39"/>
    <d v="2025-08-01T08:13:56"/>
    <s v="Flyer"/>
    <n v="10.32"/>
  </r>
  <r>
    <s v="ORDER00436"/>
    <x v="81"/>
    <d v="2025-01-30T08:13:56"/>
    <s v="Canvas Print"/>
    <n v="33.369999999999997"/>
  </r>
  <r>
    <s v="ORDER00437"/>
    <x v="34"/>
    <d v="2024-12-27T08:13:56"/>
    <s v="Canvas Print"/>
    <n v="32.69"/>
  </r>
  <r>
    <s v="ORDER00438"/>
    <x v="165"/>
    <d v="2025-10-11T08:13:56"/>
    <s v="Flyer"/>
    <n v="10.67"/>
  </r>
  <r>
    <s v="ORDER00439"/>
    <x v="48"/>
    <d v="2025-06-16T08:13:56"/>
    <s v="Flyer"/>
    <n v="11.29"/>
  </r>
  <r>
    <s v="ORDER00440"/>
    <x v="211"/>
    <d v="2025-02-24T08:13:56"/>
    <s v="Greeting Card"/>
    <n v="5.56"/>
  </r>
  <r>
    <s v="ORDER00441"/>
    <x v="225"/>
    <d v="2025-09-13T08:13:56"/>
    <s v="Photo Book"/>
    <n v="25.44"/>
  </r>
  <r>
    <s v="ORDER00442"/>
    <x v="226"/>
    <d v="2025-08-05T08:13:56"/>
    <s v="Canvas Print"/>
    <n v="33.6"/>
  </r>
  <r>
    <s v="ORDER00443"/>
    <x v="169"/>
    <d v="2025-03-06T08:13:56"/>
    <s v="Photo Book"/>
    <n v="26.88"/>
  </r>
  <r>
    <s v="ORDER00444"/>
    <x v="227"/>
    <d v="2025-03-08T08:13:56"/>
    <s v="Greeting Card"/>
    <n v="4.4800000000000004"/>
  </r>
  <r>
    <s v="ORDER00445"/>
    <x v="80"/>
    <d v="2024-12-27T08:13:56"/>
    <s v="Flyer"/>
    <n v="11.64"/>
  </r>
  <r>
    <s v="ORDER00446"/>
    <x v="46"/>
    <d v="2025-03-01T08:13:56"/>
    <s v="Business Card"/>
    <n v="13.62"/>
  </r>
  <r>
    <s v="ORDER00447"/>
    <x v="75"/>
    <d v="2024-10-31T08:13:56"/>
    <s v="Photo Book"/>
    <n v="27.09"/>
  </r>
  <r>
    <s v="ORDER00448"/>
    <x v="228"/>
    <d v="2025-06-26T08:13:56"/>
    <s v="Flyer"/>
    <n v="11.8"/>
  </r>
  <r>
    <s v="ORDER00449"/>
    <x v="165"/>
    <d v="2025-08-16T08:13:56"/>
    <s v="Flyer"/>
    <n v="8.1300000000000008"/>
  </r>
  <r>
    <s v="ORDER00450"/>
    <x v="83"/>
    <d v="2025-02-03T08:13:56"/>
    <s v="Poster"/>
    <n v="16.420000000000002"/>
  </r>
  <r>
    <s v="ORDER00451"/>
    <x v="229"/>
    <d v="2025-03-05T08:13:56"/>
    <s v="Photo Book"/>
    <n v="23.3"/>
  </r>
  <r>
    <s v="ORDER00452"/>
    <x v="0"/>
    <d v="2025-02-25T08:13:56"/>
    <s v="Business Card"/>
    <n v="13.95"/>
  </r>
  <r>
    <s v="ORDER00453"/>
    <x v="230"/>
    <d v="2024-12-17T08:13:56"/>
    <s v="Photo Book"/>
    <n v="22.67"/>
  </r>
  <r>
    <s v="ORDER00454"/>
    <x v="32"/>
    <d v="2025-01-27T08:13:56"/>
    <s v="Flyer"/>
    <n v="10.9"/>
  </r>
  <r>
    <s v="ORDER00455"/>
    <x v="4"/>
    <d v="2025-06-24T08:13:56"/>
    <s v="Business Card"/>
    <n v="13.81"/>
  </r>
  <r>
    <s v="ORDER00456"/>
    <x v="142"/>
    <d v="2025-07-29T08:13:56"/>
    <s v="Greeting Card"/>
    <n v="4.08"/>
  </r>
  <r>
    <s v="ORDER00457"/>
    <x v="72"/>
    <d v="2025-05-07T08:13:56"/>
    <s v="Poster"/>
    <n v="14.39"/>
  </r>
  <r>
    <s v="ORDER00458"/>
    <x v="121"/>
    <d v="2025-05-10T08:13:56"/>
    <s v="Flyer"/>
    <n v="11.05"/>
  </r>
  <r>
    <s v="ORDER00459"/>
    <x v="114"/>
    <d v="2025-01-07T08:13:56"/>
    <s v="Canvas Print"/>
    <n v="39.28"/>
  </r>
  <r>
    <s v="ORDER00460"/>
    <x v="171"/>
    <d v="2025-08-04T08:13:56"/>
    <s v="Canvas Print"/>
    <n v="36.28"/>
  </r>
  <r>
    <s v="ORDER00461"/>
    <x v="231"/>
    <d v="2025-10-14T08:13:56"/>
    <s v="Poster"/>
    <n v="13.32"/>
  </r>
  <r>
    <s v="ORDER00462"/>
    <x v="163"/>
    <d v="2025-07-04T08:13:56"/>
    <s v="Greeting Card"/>
    <n v="4.26"/>
  </r>
  <r>
    <s v="ORDER00463"/>
    <x v="229"/>
    <d v="2025-01-14T08:13:56"/>
    <s v="Flyer"/>
    <n v="11.43"/>
  </r>
  <r>
    <s v="ORDER00464"/>
    <x v="201"/>
    <d v="2025-04-02T08:13:56"/>
    <s v="Photo Book"/>
    <n v="25.75"/>
  </r>
  <r>
    <s v="ORDER00465"/>
    <x v="2"/>
    <d v="2025-03-23T08:13:56"/>
    <s v="Poster"/>
    <n v="12.46"/>
  </r>
  <r>
    <s v="ORDER00466"/>
    <x v="34"/>
    <d v="2025-01-24T08:13:56"/>
    <s v="Greeting Card"/>
    <n v="4.7699999999999996"/>
  </r>
  <r>
    <s v="ORDER00467"/>
    <x v="49"/>
    <d v="2025-05-03T08:13:56"/>
    <s v="Photo Book"/>
    <n v="23.68"/>
  </r>
  <r>
    <s v="ORDER00468"/>
    <x v="69"/>
    <d v="2025-08-11T08:13:56"/>
    <s v="Canvas Print"/>
    <n v="34.909999999999997"/>
  </r>
  <r>
    <s v="ORDER00469"/>
    <x v="222"/>
    <d v="2025-06-07T08:13:56"/>
    <s v="Canvas Print"/>
    <n v="38.97"/>
  </r>
  <r>
    <s v="ORDER00470"/>
    <x v="232"/>
    <d v="2025-01-07T08:13:56"/>
    <s v="Photo Book"/>
    <n v="23.32"/>
  </r>
  <r>
    <s v="ORDER00471"/>
    <x v="196"/>
    <d v="2024-12-16T08:13:56"/>
    <s v="Poster"/>
    <n v="14.05"/>
  </r>
  <r>
    <s v="ORDER00472"/>
    <x v="216"/>
    <d v="2025-02-01T08:13:56"/>
    <s v="Canvas Print"/>
    <n v="43.82"/>
  </r>
  <r>
    <s v="ORDER00473"/>
    <x v="147"/>
    <d v="2025-06-25T08:13:56"/>
    <s v="Flyer"/>
    <n v="8.89"/>
  </r>
  <r>
    <s v="ORDER00474"/>
    <x v="36"/>
    <d v="2025-05-22T08:13:56"/>
    <s v="Business Card"/>
    <n v="12.68"/>
  </r>
  <r>
    <s v="ORDER00475"/>
    <x v="233"/>
    <d v="2025-06-05T08:13:56"/>
    <s v="Photo Book"/>
    <n v="25.71"/>
  </r>
  <r>
    <s v="ORDER00476"/>
    <x v="180"/>
    <d v="2025-10-06T08:13:56"/>
    <s v="Photo Book"/>
    <n v="25.68"/>
  </r>
  <r>
    <s v="ORDER00477"/>
    <x v="25"/>
    <d v="2024-12-08T08:13:56"/>
    <s v="Canvas Print"/>
    <n v="42.61"/>
  </r>
  <r>
    <s v="ORDER00478"/>
    <x v="234"/>
    <d v="2025-02-07T08:13:56"/>
    <s v="Poster"/>
    <n v="15.29"/>
  </r>
  <r>
    <s v="ORDER00479"/>
    <x v="64"/>
    <d v="2025-08-15T08:13:56"/>
    <s v="Flyer"/>
    <n v="11.52"/>
  </r>
  <r>
    <s v="ORDER00480"/>
    <x v="94"/>
    <d v="2025-07-11T08:13:56"/>
    <s v="Poster"/>
    <n v="16.05"/>
  </r>
  <r>
    <s v="ORDER00481"/>
    <x v="19"/>
    <d v="2025-06-09T08:13:56"/>
    <s v="Greeting Card"/>
    <n v="5.09"/>
  </r>
  <r>
    <s v="ORDER00482"/>
    <x v="161"/>
    <d v="2025-10-22T08:13:56"/>
    <s v="Greeting Card"/>
    <n v="5.66"/>
  </r>
  <r>
    <s v="ORDER00483"/>
    <x v="165"/>
    <d v="2024-11-22T08:13:56"/>
    <s v="Business Card"/>
    <n v="12.51"/>
  </r>
  <r>
    <s v="ORDER00484"/>
    <x v="215"/>
    <d v="2025-07-07T08:13:56"/>
    <s v="Canvas Print"/>
    <n v="36.659999999999997"/>
  </r>
  <r>
    <s v="ORDER00485"/>
    <x v="171"/>
    <d v="2024-11-09T08:13:56"/>
    <s v="Canvas Print"/>
    <n v="35.31"/>
  </r>
  <r>
    <s v="ORDER00486"/>
    <x v="172"/>
    <d v="2025-07-03T08:13:56"/>
    <s v="Canvas Print"/>
    <n v="34.44"/>
  </r>
  <r>
    <s v="ORDER00487"/>
    <x v="106"/>
    <d v="2025-09-20T08:13:56"/>
    <s v="Business Card"/>
    <n v="13.92"/>
  </r>
  <r>
    <s v="ORDER00488"/>
    <x v="4"/>
    <d v="2025-02-07T08:13:56"/>
    <s v="Greeting Card"/>
    <n v="5.42"/>
  </r>
  <r>
    <s v="ORDER00489"/>
    <x v="165"/>
    <d v="2025-08-16T08:13:56"/>
    <s v="Poster"/>
    <n v="17.62"/>
  </r>
  <r>
    <s v="ORDER00490"/>
    <x v="235"/>
    <d v="2025-04-28T08:13:56"/>
    <s v="Business Card"/>
    <n v="12.5"/>
  </r>
  <r>
    <s v="ORDER00491"/>
    <x v="14"/>
    <d v="2025-06-10T08:13:56"/>
    <s v="Business Card"/>
    <n v="11.87"/>
  </r>
  <r>
    <s v="ORDER00492"/>
    <x v="111"/>
    <d v="2025-07-07T08:13:56"/>
    <s v="Poster"/>
    <n v="12.36"/>
  </r>
  <r>
    <s v="ORDER00493"/>
    <x v="212"/>
    <d v="2025-03-26T08:13:56"/>
    <s v="Canvas Print"/>
    <n v="42.75"/>
  </r>
  <r>
    <s v="ORDER00494"/>
    <x v="107"/>
    <d v="2025-02-03T08:13:56"/>
    <s v="Flyer"/>
    <n v="10.33"/>
  </r>
  <r>
    <s v="ORDER00495"/>
    <x v="236"/>
    <d v="2025-07-14T08:13:56"/>
    <s v="Poster"/>
    <n v="17.940000000000001"/>
  </r>
  <r>
    <s v="ORDER00496"/>
    <x v="212"/>
    <d v="2025-09-20T08:13:56"/>
    <s v="Greeting Card"/>
    <n v="4.4800000000000004"/>
  </r>
  <r>
    <s v="ORDER00497"/>
    <x v="237"/>
    <d v="2024-11-03T08:13:56"/>
    <s v="Photo Book"/>
    <n v="25.31"/>
  </r>
  <r>
    <s v="ORDER00498"/>
    <x v="168"/>
    <d v="2024-11-15T08:13:56"/>
    <s v="Photo Book"/>
    <n v="26.51"/>
  </r>
  <r>
    <s v="ORDER00499"/>
    <x v="131"/>
    <d v="2025-08-06T08:13:56"/>
    <s v="Business Card"/>
    <n v="12.69"/>
  </r>
  <r>
    <s v="ORDER00500"/>
    <x v="172"/>
    <d v="2025-10-01T08:13:56"/>
    <s v="Photo Book"/>
    <n v="25.61"/>
  </r>
  <r>
    <s v="ORDER00501"/>
    <x v="120"/>
    <d v="2025-07-04T08:13:56"/>
    <s v="Flyer"/>
    <n v="11.11"/>
  </r>
  <r>
    <s v="ORDER00502"/>
    <x v="74"/>
    <d v="2025-07-15T08:13:56"/>
    <s v="Canvas Print"/>
    <n v="35.28"/>
  </r>
  <r>
    <s v="ORDER00503"/>
    <x v="238"/>
    <d v="2025-04-08T08:13:56"/>
    <s v="Greeting Card"/>
    <n v="5.45"/>
  </r>
  <r>
    <s v="ORDER00504"/>
    <x v="239"/>
    <d v="2025-10-05T08:13:56"/>
    <s v="Flyer"/>
    <n v="10.48"/>
  </r>
  <r>
    <s v="ORDER00505"/>
    <x v="172"/>
    <d v="2025-03-31T08:13:56"/>
    <s v="Greeting Card"/>
    <n v="5.79"/>
  </r>
  <r>
    <s v="ORDER00506"/>
    <x v="172"/>
    <d v="2025-04-26T08:13:56"/>
    <s v="Greeting Card"/>
    <n v="5.69"/>
  </r>
  <r>
    <s v="ORDER00507"/>
    <x v="37"/>
    <d v="2025-04-11T08:13:56"/>
    <s v="Canvas Print"/>
    <n v="37.04"/>
  </r>
  <r>
    <s v="ORDER00508"/>
    <x v="58"/>
    <d v="2024-12-02T08:13:56"/>
    <s v="Business Card"/>
    <n v="10.93"/>
  </r>
  <r>
    <s v="ORDER00509"/>
    <x v="230"/>
    <d v="2025-04-27T08:13:56"/>
    <s v="Photo Book"/>
    <n v="29.82"/>
  </r>
  <r>
    <s v="ORDER00510"/>
    <x v="69"/>
    <d v="2025-02-08T08:13:56"/>
    <s v="Canvas Print"/>
    <n v="40.44"/>
  </r>
  <r>
    <s v="ORDER00511"/>
    <x v="153"/>
    <d v="2025-07-25T08:13:56"/>
    <s v="Flyer"/>
    <n v="11.63"/>
  </r>
  <r>
    <s v="ORDER00512"/>
    <x v="8"/>
    <d v="2025-09-18T08:13:56"/>
    <s v="Business Card"/>
    <n v="10.39"/>
  </r>
  <r>
    <s v="ORDER00513"/>
    <x v="91"/>
    <d v="2025-01-03T08:13:56"/>
    <s v="Flyer"/>
    <n v="10.57"/>
  </r>
  <r>
    <s v="ORDER00514"/>
    <x v="169"/>
    <d v="2025-04-16T08:13:56"/>
    <s v="Business Card"/>
    <n v="13.49"/>
  </r>
  <r>
    <s v="ORDER00515"/>
    <x v="169"/>
    <d v="2025-09-25T08:13:56"/>
    <s v="Flyer"/>
    <n v="11.79"/>
  </r>
  <r>
    <s v="ORDER00516"/>
    <x v="240"/>
    <d v="2024-12-12T08:13:56"/>
    <s v="Canvas Print"/>
    <n v="37.4"/>
  </r>
  <r>
    <s v="ORDER00517"/>
    <x v="216"/>
    <d v="2024-12-13T08:13:56"/>
    <s v="Business Card"/>
    <n v="13.08"/>
  </r>
  <r>
    <s v="ORDER00518"/>
    <x v="241"/>
    <d v="2025-08-11T08:13:56"/>
    <s v="Business Card"/>
    <n v="12.19"/>
  </r>
  <r>
    <s v="ORDER00519"/>
    <x v="192"/>
    <d v="2024-11-11T08:13:56"/>
    <s v="Greeting Card"/>
    <n v="4.12"/>
  </r>
  <r>
    <s v="ORDER00520"/>
    <x v="215"/>
    <d v="2025-02-02T08:13:56"/>
    <s v="Greeting Card"/>
    <n v="5.38"/>
  </r>
  <r>
    <s v="ORDER00521"/>
    <x v="242"/>
    <d v="2025-08-28T08:13:56"/>
    <s v="Poster"/>
    <n v="16.14"/>
  </r>
  <r>
    <s v="ORDER00522"/>
    <x v="243"/>
    <d v="2025-07-10T08:13:56"/>
    <s v="Flyer"/>
    <n v="11.72"/>
  </r>
  <r>
    <s v="ORDER00523"/>
    <x v="156"/>
    <d v="2025-06-29T08:13:56"/>
    <s v="Greeting Card"/>
    <n v="4.99"/>
  </r>
  <r>
    <s v="ORDER00524"/>
    <x v="149"/>
    <d v="2024-12-04T08:13:56"/>
    <s v="Poster"/>
    <n v="13.38"/>
  </r>
  <r>
    <s v="ORDER00525"/>
    <x v="87"/>
    <d v="2025-06-02T08:13:56"/>
    <s v="Greeting Card"/>
    <n v="4.09"/>
  </r>
  <r>
    <s v="ORDER00526"/>
    <x v="177"/>
    <d v="2025-10-02T08:13:56"/>
    <s v="Flyer"/>
    <n v="9.66"/>
  </r>
  <r>
    <s v="ORDER00527"/>
    <x v="241"/>
    <d v="2025-01-28T08:13:56"/>
    <s v="Business Card"/>
    <n v="11.05"/>
  </r>
  <r>
    <s v="ORDER00528"/>
    <x v="143"/>
    <d v="2025-07-21T08:13:56"/>
    <s v="Photo Book"/>
    <n v="27.61"/>
  </r>
  <r>
    <s v="ORDER00529"/>
    <x v="244"/>
    <d v="2025-01-31T08:13:56"/>
    <s v="Flyer"/>
    <n v="9.42"/>
  </r>
  <r>
    <s v="ORDER00530"/>
    <x v="45"/>
    <d v="2025-01-28T08:13:56"/>
    <s v="Canvas Print"/>
    <n v="47.19"/>
  </r>
  <r>
    <s v="ORDER00531"/>
    <x v="232"/>
    <d v="2025-02-22T08:13:56"/>
    <s v="Greeting Card"/>
    <n v="5.92"/>
  </r>
  <r>
    <s v="ORDER00532"/>
    <x v="124"/>
    <d v="2025-02-12T08:13:56"/>
    <s v="Greeting Card"/>
    <n v="5.24"/>
  </r>
  <r>
    <s v="ORDER00533"/>
    <x v="51"/>
    <d v="2025-05-14T08:13:56"/>
    <s v="Business Card"/>
    <n v="14.06"/>
  </r>
  <r>
    <s v="ORDER00534"/>
    <x v="157"/>
    <d v="2025-09-09T08:13:56"/>
    <s v="Canvas Print"/>
    <n v="44.17"/>
  </r>
  <r>
    <s v="ORDER00535"/>
    <x v="245"/>
    <d v="2025-02-21T08:13:56"/>
    <s v="Business Card"/>
    <n v="12.22"/>
  </r>
  <r>
    <s v="ORDER00536"/>
    <x v="246"/>
    <d v="2025-01-13T08:13:56"/>
    <s v="Canvas Print"/>
    <n v="34.880000000000003"/>
  </r>
  <r>
    <s v="ORDER00537"/>
    <x v="247"/>
    <d v="2025-06-04T08:13:56"/>
    <s v="Photo Book"/>
    <n v="24.59"/>
  </r>
  <r>
    <s v="ORDER00538"/>
    <x v="204"/>
    <d v="2025-08-03T08:13:56"/>
    <s v="Greeting Card"/>
    <n v="5.12"/>
  </r>
  <r>
    <s v="ORDER00539"/>
    <x v="39"/>
    <d v="2025-07-06T08:13:56"/>
    <s v="Greeting Card"/>
    <n v="5.73"/>
  </r>
  <r>
    <s v="ORDER00540"/>
    <x v="120"/>
    <d v="2025-04-12T08:13:56"/>
    <s v="Photo Book"/>
    <n v="24.81"/>
  </r>
  <r>
    <s v="ORDER00541"/>
    <x v="7"/>
    <d v="2025-10-22T08:13:56"/>
    <s v="Poster"/>
    <n v="17.39"/>
  </r>
  <r>
    <s v="ORDER00542"/>
    <x v="189"/>
    <d v="2025-05-10T08:13:56"/>
    <s v="Business Card"/>
    <n v="12.84"/>
  </r>
  <r>
    <s v="ORDER00543"/>
    <x v="243"/>
    <d v="2025-06-14T08:13:56"/>
    <s v="Photo Book"/>
    <n v="21.37"/>
  </r>
  <r>
    <s v="ORDER00544"/>
    <x v="130"/>
    <d v="2025-04-25T08:13:56"/>
    <s v="Business Card"/>
    <n v="14.38"/>
  </r>
  <r>
    <s v="ORDER00545"/>
    <x v="248"/>
    <d v="2025-02-06T08:13:56"/>
    <s v="Flyer"/>
    <n v="10.11"/>
  </r>
  <r>
    <s v="ORDER00546"/>
    <x v="109"/>
    <d v="2024-12-05T08:13:56"/>
    <s v="Greeting Card"/>
    <n v="4.78"/>
  </r>
  <r>
    <s v="ORDER00547"/>
    <x v="148"/>
    <d v="2025-02-03T08:13:56"/>
    <s v="Business Card"/>
    <n v="12.76"/>
  </r>
  <r>
    <s v="ORDER00548"/>
    <x v="156"/>
    <d v="2025-03-31T08:13:56"/>
    <s v="Canvas Print"/>
    <n v="33.74"/>
  </r>
  <r>
    <s v="ORDER00549"/>
    <x v="249"/>
    <d v="2025-03-30T08:13:56"/>
    <s v="Business Card"/>
    <n v="12.66"/>
  </r>
  <r>
    <s v="ORDER00550"/>
    <x v="250"/>
    <d v="2025-05-08T08:13:56"/>
    <s v="Flyer"/>
    <n v="9.99"/>
  </r>
  <r>
    <s v="ORDER00551"/>
    <x v="248"/>
    <d v="2025-06-11T08:13:56"/>
    <s v="Greeting Card"/>
    <n v="4.8099999999999996"/>
  </r>
  <r>
    <s v="ORDER00552"/>
    <x v="120"/>
    <d v="2024-12-06T08:13:56"/>
    <s v="Photo Book"/>
    <n v="29.53"/>
  </r>
  <r>
    <s v="ORDER00553"/>
    <x v="24"/>
    <d v="2025-07-25T08:13:56"/>
    <s v="Flyer"/>
    <n v="10.09"/>
  </r>
  <r>
    <s v="ORDER00554"/>
    <x v="132"/>
    <d v="2025-05-01T08:13:56"/>
    <s v="Greeting Card"/>
    <n v="4.4400000000000004"/>
  </r>
  <r>
    <s v="ORDER00555"/>
    <x v="236"/>
    <d v="2024-11-12T08:13:56"/>
    <s v="Business Card"/>
    <n v="11.8"/>
  </r>
  <r>
    <s v="ORDER00556"/>
    <x v="176"/>
    <d v="2025-08-05T08:13:56"/>
    <s v="Poster"/>
    <n v="17.52"/>
  </r>
  <r>
    <s v="ORDER00557"/>
    <x v="62"/>
    <d v="2025-06-04T08:13:56"/>
    <s v="Poster"/>
    <n v="13.06"/>
  </r>
  <r>
    <s v="ORDER00558"/>
    <x v="251"/>
    <d v="2025-10-20T08:13:56"/>
    <s v="Canvas Print"/>
    <n v="35.42"/>
  </r>
  <r>
    <s v="ORDER00559"/>
    <x v="185"/>
    <d v="2025-10-26T08:13:56"/>
    <s v="Greeting Card"/>
    <n v="4.03"/>
  </r>
  <r>
    <s v="ORDER00560"/>
    <x v="252"/>
    <d v="2025-08-12T08:13:56"/>
    <s v="Poster"/>
    <n v="12.09"/>
  </r>
  <r>
    <s v="ORDER00561"/>
    <x v="109"/>
    <d v="2025-07-30T08:13:56"/>
    <s v="Photo Book"/>
    <n v="28.29"/>
  </r>
  <r>
    <s v="ORDER00562"/>
    <x v="204"/>
    <d v="2024-12-31T08:13:56"/>
    <s v="Greeting Card"/>
    <n v="5.46"/>
  </r>
  <r>
    <s v="ORDER00563"/>
    <x v="191"/>
    <d v="2025-01-22T08:13:56"/>
    <s v="Photo Book"/>
    <n v="23.55"/>
  </r>
  <r>
    <s v="ORDER00564"/>
    <x v="253"/>
    <d v="2025-06-04T08:13:56"/>
    <s v="Photo Book"/>
    <n v="26.98"/>
  </r>
  <r>
    <s v="ORDER00565"/>
    <x v="147"/>
    <d v="2025-10-07T08:13:56"/>
    <s v="Poster"/>
    <n v="14.37"/>
  </r>
  <r>
    <s v="ORDER00566"/>
    <x v="85"/>
    <d v="2025-05-05T08:13:56"/>
    <s v="Greeting Card"/>
    <n v="5.91"/>
  </r>
  <r>
    <s v="ORDER00567"/>
    <x v="27"/>
    <d v="2024-11-18T08:13:56"/>
    <s v="Business Card"/>
    <n v="14.24"/>
  </r>
  <r>
    <s v="ORDER00568"/>
    <x v="252"/>
    <d v="2025-04-25T08:13:56"/>
    <s v="Flyer"/>
    <n v="9.57"/>
  </r>
  <r>
    <s v="ORDER00569"/>
    <x v="128"/>
    <d v="2025-02-07T08:13:56"/>
    <s v="Poster"/>
    <n v="17.13"/>
  </r>
  <r>
    <s v="ORDER00570"/>
    <x v="115"/>
    <d v="2025-06-20T08:13:56"/>
    <s v="Poster"/>
    <n v="16.64"/>
  </r>
  <r>
    <s v="ORDER00571"/>
    <x v="254"/>
    <d v="2025-01-14T08:13:56"/>
    <s v="Business Card"/>
    <n v="11.09"/>
  </r>
  <r>
    <s v="ORDER00572"/>
    <x v="193"/>
    <d v="2025-07-22T08:13:56"/>
    <s v="Greeting Card"/>
    <n v="4.46"/>
  </r>
  <r>
    <s v="ORDER00573"/>
    <x v="111"/>
    <d v="2025-08-10T08:13:56"/>
    <s v="Greeting Card"/>
    <n v="4.92"/>
  </r>
  <r>
    <s v="ORDER00574"/>
    <x v="196"/>
    <d v="2025-05-24T08:13:56"/>
    <s v="Photo Book"/>
    <n v="27.81"/>
  </r>
  <r>
    <s v="ORDER00575"/>
    <x v="149"/>
    <d v="2025-06-10T08:13:56"/>
    <s v="Business Card"/>
    <n v="14.21"/>
  </r>
  <r>
    <s v="ORDER00576"/>
    <x v="94"/>
    <d v="2024-12-21T08:13:56"/>
    <s v="Business Card"/>
    <n v="13.27"/>
  </r>
  <r>
    <s v="ORDER00577"/>
    <x v="255"/>
    <d v="2025-10-04T08:13:56"/>
    <s v="Greeting Card"/>
    <n v="5.71"/>
  </r>
  <r>
    <s v="ORDER00578"/>
    <x v="53"/>
    <d v="2025-03-23T08:13:56"/>
    <s v="Photo Book"/>
    <n v="26.03"/>
  </r>
  <r>
    <s v="ORDER00579"/>
    <x v="256"/>
    <d v="2025-01-07T08:13:56"/>
    <s v="Poster"/>
    <n v="17.010000000000002"/>
  </r>
  <r>
    <s v="ORDER00580"/>
    <x v="257"/>
    <d v="2025-02-06T08:13:56"/>
    <s v="Canvas Print"/>
    <n v="44.55"/>
  </r>
  <r>
    <s v="ORDER00581"/>
    <x v="209"/>
    <d v="2024-11-24T08:13:56"/>
    <s v="Flyer"/>
    <n v="9.51"/>
  </r>
  <r>
    <s v="ORDER00582"/>
    <x v="165"/>
    <d v="2024-12-22T08:13:56"/>
    <s v="Poster"/>
    <n v="15.31"/>
  </r>
  <r>
    <s v="ORDER00583"/>
    <x v="115"/>
    <d v="2025-03-30T08:13:56"/>
    <s v="Greeting Card"/>
    <n v="5.61"/>
  </r>
  <r>
    <s v="ORDER00584"/>
    <x v="178"/>
    <d v="2025-03-23T08:13:56"/>
    <s v="Flyer"/>
    <n v="8.18"/>
  </r>
  <r>
    <s v="ORDER00585"/>
    <x v="231"/>
    <d v="2024-12-26T08:13:56"/>
    <s v="Canvas Print"/>
    <n v="44.93"/>
  </r>
  <r>
    <s v="ORDER00586"/>
    <x v="51"/>
    <d v="2024-12-08T08:13:56"/>
    <s v="Canvas Print"/>
    <n v="34.85"/>
  </r>
  <r>
    <s v="ORDER00587"/>
    <x v="258"/>
    <d v="2025-02-16T08:13:56"/>
    <s v="Photo Book"/>
    <n v="25.15"/>
  </r>
  <r>
    <s v="ORDER00588"/>
    <x v="115"/>
    <d v="2025-04-29T08:13:56"/>
    <s v="Flyer"/>
    <n v="11.23"/>
  </r>
  <r>
    <s v="ORDER00589"/>
    <x v="57"/>
    <d v="2024-12-11T08:13:56"/>
    <s v="Photo Book"/>
    <n v="22.54"/>
  </r>
  <r>
    <s v="ORDER00590"/>
    <x v="108"/>
    <d v="2025-05-04T08:13:56"/>
    <s v="Poster"/>
    <n v="13.47"/>
  </r>
  <r>
    <s v="ORDER00591"/>
    <x v="42"/>
    <d v="2025-06-10T08:13:56"/>
    <s v="Business Card"/>
    <n v="11.53"/>
  </r>
  <r>
    <s v="ORDER00592"/>
    <x v="9"/>
    <d v="2025-03-01T08:13:56"/>
    <s v="Business Card"/>
    <n v="13.89"/>
  </r>
  <r>
    <s v="ORDER00593"/>
    <x v="128"/>
    <d v="2025-03-12T08:13:56"/>
    <s v="Business Card"/>
    <n v="9.6"/>
  </r>
  <r>
    <s v="ORDER00594"/>
    <x v="10"/>
    <d v="2025-04-11T08:13:56"/>
    <s v="Flyer"/>
    <n v="11.61"/>
  </r>
  <r>
    <s v="ORDER00595"/>
    <x v="253"/>
    <d v="2025-06-02T08:13:56"/>
    <s v="Business Card"/>
    <n v="10.34"/>
  </r>
  <r>
    <s v="ORDER00596"/>
    <x v="184"/>
    <d v="2025-06-08T08:13:56"/>
    <s v="Poster"/>
    <n v="17.940000000000001"/>
  </r>
  <r>
    <s v="ORDER00597"/>
    <x v="161"/>
    <d v="2025-06-22T08:13:56"/>
    <s v="Photo Book"/>
    <n v="29.55"/>
  </r>
  <r>
    <s v="ORDER00598"/>
    <x v="18"/>
    <d v="2025-09-26T08:13:56"/>
    <s v="Flyer"/>
    <n v="9.98"/>
  </r>
  <r>
    <s v="ORDER00599"/>
    <x v="91"/>
    <d v="2025-03-25T08:13:56"/>
    <s v="Photo Book"/>
    <n v="25.13"/>
  </r>
  <r>
    <s v="ORDER00600"/>
    <x v="259"/>
    <d v="2025-06-26T08:13:56"/>
    <s v="Flyer"/>
    <n v="9.93"/>
  </r>
  <r>
    <s v="ORDER00601"/>
    <x v="10"/>
    <d v="2025-01-14T08:13:56"/>
    <s v="Photo Book"/>
    <n v="26.35"/>
  </r>
  <r>
    <s v="ORDER00602"/>
    <x v="230"/>
    <d v="2024-11-08T08:13:56"/>
    <s v="Canvas Print"/>
    <n v="33.450000000000003"/>
  </r>
  <r>
    <s v="ORDER00603"/>
    <x v="153"/>
    <d v="2025-01-12T08:13:56"/>
    <s v="Photo Book"/>
    <n v="20.329999999999998"/>
  </r>
  <r>
    <s v="ORDER00604"/>
    <x v="97"/>
    <d v="2025-07-10T08:13:56"/>
    <s v="Business Card"/>
    <n v="9.8800000000000008"/>
  </r>
  <r>
    <s v="ORDER00605"/>
    <x v="257"/>
    <d v="2025-06-17T08:13:56"/>
    <s v="Canvas Print"/>
    <n v="39.11"/>
  </r>
  <r>
    <s v="ORDER00606"/>
    <x v="55"/>
    <d v="2024-11-06T08:13:56"/>
    <s v="Photo Book"/>
    <n v="22.76"/>
  </r>
  <r>
    <s v="ORDER00607"/>
    <x v="137"/>
    <d v="2025-04-22T08:13:56"/>
    <s v="Flyer"/>
    <n v="10.49"/>
  </r>
  <r>
    <s v="ORDER00608"/>
    <x v="249"/>
    <d v="2025-03-20T08:13:56"/>
    <s v="Flyer"/>
    <n v="11.97"/>
  </r>
  <r>
    <s v="ORDER00609"/>
    <x v="173"/>
    <d v="2025-04-16T08:13:56"/>
    <s v="Flyer"/>
    <n v="9.5500000000000007"/>
  </r>
  <r>
    <s v="ORDER00610"/>
    <x v="167"/>
    <d v="2025-04-18T08:13:56"/>
    <s v="Greeting Card"/>
    <n v="5.15"/>
  </r>
  <r>
    <s v="ORDER00611"/>
    <x v="204"/>
    <d v="2025-08-09T08:13:56"/>
    <s v="Poster"/>
    <n v="14.49"/>
  </r>
  <r>
    <s v="ORDER00612"/>
    <x v="217"/>
    <d v="2025-03-01T08:13:56"/>
    <s v="Flyer"/>
    <n v="11.39"/>
  </r>
  <r>
    <s v="ORDER00613"/>
    <x v="258"/>
    <d v="2025-05-12T08:13:56"/>
    <s v="Canvas Print"/>
    <n v="46.44"/>
  </r>
  <r>
    <s v="ORDER00614"/>
    <x v="260"/>
    <d v="2024-11-04T08:13:56"/>
    <s v="Flyer"/>
    <n v="11.51"/>
  </r>
  <r>
    <s v="ORDER00615"/>
    <x v="184"/>
    <d v="2024-11-28T08:13:56"/>
    <s v="Greeting Card"/>
    <n v="5.95"/>
  </r>
  <r>
    <s v="ORDER00616"/>
    <x v="227"/>
    <d v="2025-04-13T08:13:56"/>
    <s v="Business Card"/>
    <n v="9.73"/>
  </r>
  <r>
    <s v="ORDER00617"/>
    <x v="24"/>
    <d v="2025-10-04T08:13:56"/>
    <s v="Canvas Print"/>
    <n v="45.44"/>
  </r>
  <r>
    <s v="ORDER00618"/>
    <x v="49"/>
    <d v="2025-03-15T08:13:56"/>
    <s v="Greeting Card"/>
    <n v="5.5"/>
  </r>
  <r>
    <s v="ORDER00619"/>
    <x v="261"/>
    <d v="2025-10-30T08:13:56"/>
    <s v="Business Card"/>
    <n v="10.7"/>
  </r>
  <r>
    <s v="ORDER00620"/>
    <x v="139"/>
    <d v="2025-09-16T08:13:56"/>
    <s v="Canvas Print"/>
    <n v="47.3"/>
  </r>
  <r>
    <s v="ORDER00621"/>
    <x v="256"/>
    <d v="2025-10-07T08:13:56"/>
    <s v="Photo Book"/>
    <n v="21.48"/>
  </r>
  <r>
    <s v="ORDER00622"/>
    <x v="184"/>
    <d v="2025-03-24T08:13:56"/>
    <s v="Poster"/>
    <n v="16.079999999999998"/>
  </r>
  <r>
    <s v="ORDER00623"/>
    <x v="262"/>
    <d v="2025-09-22T08:13:56"/>
    <s v="Poster"/>
    <n v="13.35"/>
  </r>
  <r>
    <s v="ORDER00624"/>
    <x v="263"/>
    <d v="2025-06-04T08:13:56"/>
    <s v="Greeting Card"/>
    <n v="4.8600000000000003"/>
  </r>
  <r>
    <s v="ORDER00625"/>
    <x v="211"/>
    <d v="2025-08-27T08:13:56"/>
    <s v="Business Card"/>
    <n v="13.05"/>
  </r>
  <r>
    <s v="ORDER00626"/>
    <x v="192"/>
    <d v="2025-03-11T08:13:56"/>
    <s v="Poster"/>
    <n v="15.38"/>
  </r>
  <r>
    <s v="ORDER00627"/>
    <x v="264"/>
    <d v="2025-08-18T08:13:56"/>
    <s v="Business Card"/>
    <n v="11.65"/>
  </r>
  <r>
    <s v="ORDER00628"/>
    <x v="189"/>
    <d v="2025-01-08T08:13:56"/>
    <s v="Business Card"/>
    <n v="11.17"/>
  </r>
  <r>
    <s v="ORDER00629"/>
    <x v="55"/>
    <d v="2025-07-09T08:13:56"/>
    <s v="Greeting Card"/>
    <n v="5.68"/>
  </r>
  <r>
    <s v="ORDER00630"/>
    <x v="48"/>
    <d v="2025-08-01T08:13:56"/>
    <s v="Greeting Card"/>
    <n v="4.29"/>
  </r>
  <r>
    <s v="ORDER00631"/>
    <x v="132"/>
    <d v="2025-10-29T08:13:56"/>
    <s v="Greeting Card"/>
    <n v="4.8600000000000003"/>
  </r>
  <r>
    <s v="ORDER00632"/>
    <x v="246"/>
    <d v="2025-04-30T08:13:56"/>
    <s v="Poster"/>
    <n v="17.420000000000002"/>
  </r>
  <r>
    <s v="ORDER00633"/>
    <x v="12"/>
    <d v="2025-04-15T08:13:56"/>
    <s v="Greeting Card"/>
    <n v="5.69"/>
  </r>
  <r>
    <s v="ORDER00634"/>
    <x v="18"/>
    <d v="2025-01-29T08:13:56"/>
    <s v="Poster"/>
    <n v="14.41"/>
  </r>
  <r>
    <s v="ORDER00635"/>
    <x v="68"/>
    <d v="2025-05-20T08:13:56"/>
    <s v="Greeting Card"/>
    <n v="5.53"/>
  </r>
  <r>
    <s v="ORDER00636"/>
    <x v="171"/>
    <d v="2025-10-11T08:13:56"/>
    <s v="Flyer"/>
    <n v="11.29"/>
  </r>
  <r>
    <s v="ORDER00637"/>
    <x v="133"/>
    <d v="2024-11-18T08:13:56"/>
    <s v="Business Card"/>
    <n v="13.87"/>
  </r>
  <r>
    <s v="ORDER00638"/>
    <x v="96"/>
    <d v="2024-12-08T08:13:56"/>
    <s v="Greeting Card"/>
    <n v="5.09"/>
  </r>
  <r>
    <s v="ORDER00639"/>
    <x v="103"/>
    <d v="2025-03-05T08:13:56"/>
    <s v="Canvas Print"/>
    <n v="35.270000000000003"/>
  </r>
  <r>
    <s v="ORDER00640"/>
    <x v="227"/>
    <d v="2025-04-21T08:13:56"/>
    <s v="Business Card"/>
    <n v="10.83"/>
  </r>
  <r>
    <s v="ORDER00641"/>
    <x v="190"/>
    <d v="2025-03-20T08:13:56"/>
    <s v="Business Card"/>
    <n v="11.02"/>
  </r>
  <r>
    <s v="ORDER00642"/>
    <x v="265"/>
    <d v="2025-06-29T08:13:56"/>
    <s v="Greeting Card"/>
    <n v="5.19"/>
  </r>
  <r>
    <s v="ORDER00643"/>
    <x v="170"/>
    <d v="2025-06-07T08:13:56"/>
    <s v="Photo Book"/>
    <n v="20.329999999999998"/>
  </r>
  <r>
    <s v="ORDER00644"/>
    <x v="227"/>
    <d v="2025-03-05T08:13:56"/>
    <s v="Greeting Card"/>
    <n v="5.27"/>
  </r>
  <r>
    <s v="ORDER00645"/>
    <x v="266"/>
    <d v="2024-12-27T08:13:56"/>
    <s v="Business Card"/>
    <n v="11.35"/>
  </r>
  <r>
    <s v="ORDER00646"/>
    <x v="217"/>
    <d v="2025-03-27T08:13:56"/>
    <s v="Canvas Print"/>
    <n v="36.72"/>
  </r>
  <r>
    <s v="ORDER00647"/>
    <x v="16"/>
    <d v="2025-09-12T08:13:56"/>
    <s v="Business Card"/>
    <n v="13.82"/>
  </r>
  <r>
    <s v="ORDER00648"/>
    <x v="133"/>
    <d v="2025-10-26T08:13:56"/>
    <s v="Canvas Print"/>
    <n v="39.36"/>
  </r>
  <r>
    <s v="ORDER00649"/>
    <x v="123"/>
    <d v="2024-10-31T08:13:56"/>
    <s v="Poster"/>
    <n v="12.57"/>
  </r>
  <r>
    <s v="ORDER00650"/>
    <x v="81"/>
    <d v="2025-10-13T08:13:56"/>
    <s v="Flyer"/>
    <n v="11.31"/>
  </r>
  <r>
    <s v="ORDER00651"/>
    <x v="200"/>
    <d v="2025-05-08T08:13:56"/>
    <s v="Business Card"/>
    <n v="9.83"/>
  </r>
  <r>
    <s v="ORDER00652"/>
    <x v="58"/>
    <d v="2025-05-09T08:13:56"/>
    <s v="Greeting Card"/>
    <n v="5.45"/>
  </r>
  <r>
    <s v="ORDER00653"/>
    <x v="203"/>
    <d v="2025-09-07T08:13:56"/>
    <s v="Poster"/>
    <n v="16.64"/>
  </r>
  <r>
    <s v="ORDER00654"/>
    <x v="25"/>
    <d v="2025-02-24T08:13:56"/>
    <s v="Flyer"/>
    <n v="9.41"/>
  </r>
  <r>
    <s v="ORDER00655"/>
    <x v="96"/>
    <d v="2025-03-13T08:13:56"/>
    <s v="Greeting Card"/>
    <n v="5.65"/>
  </r>
  <r>
    <s v="ORDER00656"/>
    <x v="43"/>
    <d v="2024-12-27T08:13:56"/>
    <s v="Photo Book"/>
    <n v="25.16"/>
  </r>
  <r>
    <s v="ORDER00657"/>
    <x v="146"/>
    <d v="2024-12-13T08:13:56"/>
    <s v="Greeting Card"/>
    <n v="4.93"/>
  </r>
  <r>
    <s v="ORDER00658"/>
    <x v="182"/>
    <d v="2025-04-21T08:13:56"/>
    <s v="Canvas Print"/>
    <n v="32.729999999999997"/>
  </r>
  <r>
    <s v="ORDER00659"/>
    <x v="20"/>
    <d v="2025-04-08T08:13:56"/>
    <s v="Canvas Print"/>
    <n v="36.64"/>
  </r>
  <r>
    <s v="ORDER00660"/>
    <x v="189"/>
    <d v="2025-04-21T08:13:56"/>
    <s v="Photo Book"/>
    <n v="29.31"/>
  </r>
  <r>
    <s v="ORDER00661"/>
    <x v="232"/>
    <d v="2025-09-12T08:13:56"/>
    <s v="Poster"/>
    <n v="14.35"/>
  </r>
  <r>
    <s v="ORDER00662"/>
    <x v="208"/>
    <d v="2025-08-29T08:13:56"/>
    <s v="Flyer"/>
    <n v="10.19"/>
  </r>
  <r>
    <s v="ORDER00663"/>
    <x v="63"/>
    <d v="2025-03-28T08:13:56"/>
    <s v="Greeting Card"/>
    <n v="5.0599999999999996"/>
  </r>
  <r>
    <s v="ORDER00664"/>
    <x v="91"/>
    <d v="2025-01-18T08:13:56"/>
    <s v="Canvas Print"/>
    <n v="41.45"/>
  </r>
  <r>
    <s v="ORDER00665"/>
    <x v="80"/>
    <d v="2025-05-31T08:13:56"/>
    <s v="Poster"/>
    <n v="12.37"/>
  </r>
  <r>
    <s v="ORDER00666"/>
    <x v="1"/>
    <d v="2025-05-21T08:13:56"/>
    <s v="Photo Book"/>
    <n v="23.62"/>
  </r>
  <r>
    <s v="ORDER00667"/>
    <x v="102"/>
    <d v="2025-07-09T08:13:56"/>
    <s v="Business Card"/>
    <n v="13.07"/>
  </r>
  <r>
    <s v="ORDER00668"/>
    <x v="251"/>
    <d v="2025-06-16T08:13:56"/>
    <s v="Canvas Print"/>
    <n v="35.21"/>
  </r>
  <r>
    <s v="ORDER00669"/>
    <x v="158"/>
    <d v="2025-04-12T08:13:56"/>
    <s v="Photo Book"/>
    <n v="22.04"/>
  </r>
  <r>
    <s v="ORDER00670"/>
    <x v="50"/>
    <d v="2025-06-14T08:13:56"/>
    <s v="Greeting Card"/>
    <n v="4.0199999999999996"/>
  </r>
  <r>
    <s v="ORDER00671"/>
    <x v="58"/>
    <d v="2025-03-26T08:13:56"/>
    <s v="Flyer"/>
    <n v="9.75"/>
  </r>
  <r>
    <s v="ORDER00672"/>
    <x v="248"/>
    <d v="2024-11-19T08:13:56"/>
    <s v="Canvas Print"/>
    <n v="46.12"/>
  </r>
  <r>
    <s v="ORDER00673"/>
    <x v="247"/>
    <d v="2024-12-16T08:13:56"/>
    <s v="Canvas Print"/>
    <n v="32.83"/>
  </r>
  <r>
    <s v="ORDER00674"/>
    <x v="267"/>
    <d v="2025-06-20T08:13:56"/>
    <s v="Greeting Card"/>
    <n v="4.38"/>
  </r>
  <r>
    <s v="ORDER00675"/>
    <x v="104"/>
    <d v="2025-08-31T08:13:56"/>
    <s v="Business Card"/>
    <n v="11.09"/>
  </r>
  <r>
    <s v="ORDER00676"/>
    <x v="213"/>
    <d v="2024-11-13T08:13:56"/>
    <s v="Poster"/>
    <n v="16.39"/>
  </r>
  <r>
    <s v="ORDER00677"/>
    <x v="129"/>
    <d v="2025-03-22T08:13:56"/>
    <s v="Flyer"/>
    <n v="10.56"/>
  </r>
  <r>
    <s v="ORDER00678"/>
    <x v="133"/>
    <d v="2024-10-31T08:13:56"/>
    <s v="Canvas Print"/>
    <n v="38.659999999999997"/>
  </r>
  <r>
    <s v="ORDER00679"/>
    <x v="107"/>
    <d v="2024-12-23T08:13:56"/>
    <s v="Flyer"/>
    <n v="11.04"/>
  </r>
  <r>
    <s v="ORDER00680"/>
    <x v="262"/>
    <d v="2025-07-16T08:13:56"/>
    <s v="Canvas Print"/>
    <n v="41.75"/>
  </r>
  <r>
    <s v="ORDER00681"/>
    <x v="188"/>
    <d v="2025-03-23T08:13:56"/>
    <s v="Flyer"/>
    <n v="11.58"/>
  </r>
  <r>
    <s v="ORDER00682"/>
    <x v="47"/>
    <d v="2024-11-11T08:13:56"/>
    <s v="Photo Book"/>
    <n v="28.18"/>
  </r>
  <r>
    <s v="ORDER00683"/>
    <x v="90"/>
    <d v="2025-09-25T08:13:56"/>
    <s v="Canvas Print"/>
    <n v="36.049999999999997"/>
  </r>
  <r>
    <s v="ORDER00684"/>
    <x v="64"/>
    <d v="2025-06-11T08:13:56"/>
    <s v="Flyer"/>
    <n v="9.09"/>
  </r>
  <r>
    <s v="ORDER00685"/>
    <x v="171"/>
    <d v="2025-07-29T08:13:56"/>
    <s v="Poster"/>
    <n v="12.75"/>
  </r>
  <r>
    <s v="ORDER00686"/>
    <x v="230"/>
    <d v="2025-10-23T08:13:56"/>
    <s v="Photo Book"/>
    <n v="23.37"/>
  </r>
  <r>
    <s v="ORDER00687"/>
    <x v="198"/>
    <d v="2025-04-04T08:13:56"/>
    <s v="Photo Book"/>
    <n v="30"/>
  </r>
  <r>
    <s v="ORDER00688"/>
    <x v="148"/>
    <d v="2024-11-07T08:13:56"/>
    <s v="Poster"/>
    <n v="14.43"/>
  </r>
  <r>
    <s v="ORDER00689"/>
    <x v="182"/>
    <d v="2025-03-01T08:13:56"/>
    <s v="Flyer"/>
    <n v="8.8800000000000008"/>
  </r>
  <r>
    <s v="ORDER00690"/>
    <x v="254"/>
    <d v="2025-10-13T08:13:56"/>
    <s v="Greeting Card"/>
    <n v="5.52"/>
  </r>
  <r>
    <s v="ORDER00691"/>
    <x v="134"/>
    <d v="2025-04-12T08:13:56"/>
    <s v="Poster"/>
    <n v="15.25"/>
  </r>
  <r>
    <s v="ORDER00692"/>
    <x v="2"/>
    <d v="2025-01-28T08:13:56"/>
    <s v="Flyer"/>
    <n v="8.6"/>
  </r>
  <r>
    <s v="ORDER00693"/>
    <x v="10"/>
    <d v="2025-03-15T08:13:56"/>
    <s v="Poster"/>
    <n v="14.28"/>
  </r>
  <r>
    <s v="ORDER00694"/>
    <x v="56"/>
    <d v="2025-05-04T08:13:56"/>
    <s v="Poster"/>
    <n v="14.49"/>
  </r>
  <r>
    <s v="ORDER00695"/>
    <x v="111"/>
    <d v="2025-09-11T08:13:56"/>
    <s v="Canvas Print"/>
    <n v="44.06"/>
  </r>
  <r>
    <s v="ORDER00696"/>
    <x v="149"/>
    <d v="2025-04-26T08:13:56"/>
    <s v="Flyer"/>
    <n v="8.08"/>
  </r>
  <r>
    <s v="ORDER00697"/>
    <x v="10"/>
    <d v="2024-11-27T08:13:56"/>
    <s v="Greeting Card"/>
    <n v="4.54"/>
  </r>
  <r>
    <s v="ORDER00698"/>
    <x v="260"/>
    <d v="2025-06-07T08:13:56"/>
    <s v="Canvas Print"/>
    <n v="40.28"/>
  </r>
  <r>
    <s v="ORDER00699"/>
    <x v="253"/>
    <d v="2025-10-22T08:13:56"/>
    <s v="Poster"/>
    <n v="13.61"/>
  </r>
  <r>
    <s v="ORDER00700"/>
    <x v="222"/>
    <d v="2024-12-10T08:13:56"/>
    <s v="Business Card"/>
    <n v="12.62"/>
  </r>
  <r>
    <s v="ORDER00701"/>
    <x v="89"/>
    <d v="2025-06-15T08:13:56"/>
    <s v="Poster"/>
    <n v="14.89"/>
  </r>
  <r>
    <s v="ORDER00702"/>
    <x v="95"/>
    <d v="2025-05-10T08:13:56"/>
    <s v="Poster"/>
    <n v="14.17"/>
  </r>
  <r>
    <s v="ORDER00703"/>
    <x v="156"/>
    <d v="2025-03-24T08:13:56"/>
    <s v="Flyer"/>
    <n v="11.8"/>
  </r>
  <r>
    <s v="ORDER00704"/>
    <x v="41"/>
    <d v="2025-05-19T08:13:56"/>
    <s v="Flyer"/>
    <n v="10.53"/>
  </r>
  <r>
    <s v="ORDER00705"/>
    <x v="204"/>
    <d v="2025-05-30T08:13:56"/>
    <s v="Canvas Print"/>
    <n v="34.08"/>
  </r>
  <r>
    <s v="ORDER00706"/>
    <x v="138"/>
    <d v="2025-06-07T08:13:56"/>
    <s v="Greeting Card"/>
    <n v="5.12"/>
  </r>
  <r>
    <s v="ORDER00707"/>
    <x v="204"/>
    <d v="2025-06-27T08:13:56"/>
    <s v="Canvas Print"/>
    <n v="44.49"/>
  </r>
  <r>
    <s v="ORDER00708"/>
    <x v="106"/>
    <d v="2024-12-15T08:13:56"/>
    <s v="Photo Book"/>
    <n v="27.08"/>
  </r>
  <r>
    <s v="ORDER00709"/>
    <x v="75"/>
    <d v="2024-12-04T08:13:56"/>
    <s v="Poster"/>
    <n v="13.03"/>
  </r>
  <r>
    <s v="ORDER00710"/>
    <x v="188"/>
    <d v="2025-07-10T08:13:56"/>
    <s v="Business Card"/>
    <n v="14.27"/>
  </r>
  <r>
    <s v="ORDER00711"/>
    <x v="153"/>
    <d v="2025-01-20T08:13:56"/>
    <s v="Poster"/>
    <n v="14.69"/>
  </r>
  <r>
    <s v="ORDER00712"/>
    <x v="100"/>
    <d v="2025-07-13T08:13:56"/>
    <s v="Poster"/>
    <n v="12.95"/>
  </r>
  <r>
    <s v="ORDER00713"/>
    <x v="268"/>
    <d v="2025-05-15T08:13:56"/>
    <s v="Canvas Print"/>
    <n v="34.880000000000003"/>
  </r>
  <r>
    <s v="ORDER00714"/>
    <x v="73"/>
    <d v="2025-08-29T08:13:56"/>
    <s v="Business Card"/>
    <n v="10.07"/>
  </r>
  <r>
    <s v="ORDER00715"/>
    <x v="269"/>
    <d v="2024-11-09T08:13:56"/>
    <s v="Business Card"/>
    <n v="13.46"/>
  </r>
  <r>
    <s v="ORDER00716"/>
    <x v="162"/>
    <d v="2025-09-07T08:13:56"/>
    <s v="Business Card"/>
    <n v="10.19"/>
  </r>
  <r>
    <s v="ORDER00717"/>
    <x v="214"/>
    <d v="2025-08-12T08:13:56"/>
    <s v="Canvas Print"/>
    <n v="34"/>
  </r>
  <r>
    <s v="ORDER00718"/>
    <x v="42"/>
    <d v="2025-06-29T08:13:56"/>
    <s v="Poster"/>
    <n v="17.100000000000001"/>
  </r>
  <r>
    <s v="ORDER00719"/>
    <x v="270"/>
    <d v="2025-07-08T08:13:56"/>
    <s v="Canvas Print"/>
    <n v="37.51"/>
  </r>
  <r>
    <s v="ORDER00720"/>
    <x v="157"/>
    <d v="2025-10-30T08:13:56"/>
    <s v="Flyer"/>
    <n v="8.1199999999999992"/>
  </r>
  <r>
    <s v="ORDER00721"/>
    <x v="122"/>
    <d v="2024-11-04T08:13:56"/>
    <s v="Flyer"/>
    <n v="8.2100000000000009"/>
  </r>
  <r>
    <s v="ORDER00722"/>
    <x v="116"/>
    <d v="2025-02-26T08:13:56"/>
    <s v="Canvas Print"/>
    <n v="34.270000000000003"/>
  </r>
  <r>
    <s v="ORDER00723"/>
    <x v="236"/>
    <d v="2025-08-15T08:13:56"/>
    <s v="Business Card"/>
    <n v="10.62"/>
  </r>
  <r>
    <s v="ORDER00724"/>
    <x v="169"/>
    <d v="2025-01-03T08:13:56"/>
    <s v="Poster"/>
    <n v="15.99"/>
  </r>
  <r>
    <s v="ORDER00725"/>
    <x v="135"/>
    <d v="2025-03-25T08:13:56"/>
    <s v="Canvas Print"/>
    <n v="34.520000000000003"/>
  </r>
  <r>
    <s v="ORDER00726"/>
    <x v="102"/>
    <d v="2025-06-11T08:13:56"/>
    <s v="Canvas Print"/>
    <n v="33.9"/>
  </r>
  <r>
    <s v="ORDER00727"/>
    <x v="75"/>
    <d v="2025-06-26T08:13:56"/>
    <s v="Canvas Print"/>
    <n v="44.24"/>
  </r>
  <r>
    <s v="ORDER00728"/>
    <x v="21"/>
    <d v="2025-04-25T08:13:56"/>
    <s v="Photo Book"/>
    <n v="26.71"/>
  </r>
  <r>
    <s v="ORDER00729"/>
    <x v="261"/>
    <d v="2025-07-24T08:13:56"/>
    <s v="Flyer"/>
    <n v="9.74"/>
  </r>
  <r>
    <s v="ORDER00730"/>
    <x v="271"/>
    <d v="2025-10-06T08:13:56"/>
    <s v="Business Card"/>
    <n v="12.24"/>
  </r>
  <r>
    <s v="ORDER00731"/>
    <x v="30"/>
    <d v="2025-08-08T08:13:56"/>
    <s v="Greeting Card"/>
    <n v="4.62"/>
  </r>
  <r>
    <s v="ORDER00732"/>
    <x v="67"/>
    <d v="2025-01-01T08:13:56"/>
    <s v="Business Card"/>
    <n v="11.92"/>
  </r>
  <r>
    <s v="ORDER00733"/>
    <x v="264"/>
    <d v="2025-06-04T08:13:56"/>
    <s v="Greeting Card"/>
    <n v="5.01"/>
  </r>
  <r>
    <s v="ORDER00734"/>
    <x v="88"/>
    <d v="2025-10-07T08:13:56"/>
    <s v="Photo Book"/>
    <n v="23.87"/>
  </r>
  <r>
    <s v="ORDER00735"/>
    <x v="178"/>
    <d v="2025-09-10T08:13:56"/>
    <s v="Canvas Print"/>
    <n v="46.51"/>
  </r>
  <r>
    <s v="ORDER00736"/>
    <x v="272"/>
    <d v="2025-08-09T08:13:56"/>
    <s v="Photo Book"/>
    <n v="20.16"/>
  </r>
  <r>
    <s v="ORDER00737"/>
    <x v="163"/>
    <d v="2025-04-25T08:13:56"/>
    <s v="Photo Book"/>
    <n v="27.82"/>
  </r>
  <r>
    <s v="ORDER00738"/>
    <x v="112"/>
    <d v="2025-02-05T08:13:56"/>
    <s v="Poster"/>
    <n v="12.75"/>
  </r>
  <r>
    <s v="ORDER00739"/>
    <x v="263"/>
    <d v="2025-02-12T08:13:56"/>
    <s v="Flyer"/>
    <n v="11.19"/>
  </r>
  <r>
    <s v="ORDER00740"/>
    <x v="114"/>
    <d v="2025-02-06T08:13:56"/>
    <s v="Greeting Card"/>
    <n v="5.23"/>
  </r>
  <r>
    <s v="ORDER00741"/>
    <x v="145"/>
    <d v="2025-09-06T08:13:56"/>
    <s v="Canvas Print"/>
    <n v="45.49"/>
  </r>
  <r>
    <s v="ORDER00742"/>
    <x v="234"/>
    <d v="2024-11-05T08:13:56"/>
    <s v="Greeting Card"/>
    <n v="4.2"/>
  </r>
  <r>
    <s v="ORDER00743"/>
    <x v="197"/>
    <d v="2025-05-15T08:13:56"/>
    <s v="Business Card"/>
    <n v="12.28"/>
  </r>
  <r>
    <s v="ORDER00744"/>
    <x v="103"/>
    <d v="2025-10-16T08:13:56"/>
    <s v="Greeting Card"/>
    <n v="5"/>
  </r>
  <r>
    <s v="ORDER00745"/>
    <x v="68"/>
    <d v="2025-03-12T08:13:56"/>
    <s v="Business Card"/>
    <n v="12.99"/>
  </r>
  <r>
    <s v="ORDER00746"/>
    <x v="273"/>
    <d v="2025-10-23T08:13:56"/>
    <s v="Flyer"/>
    <n v="10.14"/>
  </r>
  <r>
    <s v="ORDER00747"/>
    <x v="230"/>
    <d v="2025-07-16T08:13:56"/>
    <s v="Business Card"/>
    <n v="12.2"/>
  </r>
  <r>
    <s v="ORDER00748"/>
    <x v="39"/>
    <d v="2024-11-22T08:13:56"/>
    <s v="Greeting Card"/>
    <n v="4.8600000000000003"/>
  </r>
  <r>
    <s v="ORDER00749"/>
    <x v="75"/>
    <d v="2024-12-22T08:13:56"/>
    <s v="Greeting Card"/>
    <n v="4.62"/>
  </r>
  <r>
    <s v="ORDER00750"/>
    <x v="238"/>
    <d v="2025-04-13T08:13:56"/>
    <s v="Business Card"/>
    <n v="11.91"/>
  </r>
  <r>
    <s v="ORDER00751"/>
    <x v="175"/>
    <d v="2025-05-20T08:13:56"/>
    <s v="Photo Book"/>
    <n v="21.18"/>
  </r>
  <r>
    <s v="ORDER00752"/>
    <x v="44"/>
    <d v="2025-01-21T08:13:56"/>
    <s v="Flyer"/>
    <n v="11.85"/>
  </r>
  <r>
    <s v="ORDER00753"/>
    <x v="186"/>
    <d v="2025-03-24T08:13:56"/>
    <s v="Poster"/>
    <n v="16.29"/>
  </r>
  <r>
    <s v="ORDER00754"/>
    <x v="135"/>
    <d v="2025-01-23T08:13:56"/>
    <s v="Canvas Print"/>
    <n v="47.24"/>
  </r>
  <r>
    <s v="ORDER00755"/>
    <x v="37"/>
    <d v="2025-01-16T08:13:56"/>
    <s v="Greeting Card"/>
    <n v="4.45"/>
  </r>
  <r>
    <s v="ORDER00756"/>
    <x v="127"/>
    <d v="2024-10-31T08:13:56"/>
    <s v="Canvas Print"/>
    <n v="46.07"/>
  </r>
  <r>
    <s v="ORDER00757"/>
    <x v="172"/>
    <d v="2024-12-20T08:13:56"/>
    <s v="Poster"/>
    <n v="16.850000000000001"/>
  </r>
  <r>
    <s v="ORDER00758"/>
    <x v="259"/>
    <d v="2025-04-21T08:13:56"/>
    <s v="Canvas Print"/>
    <n v="42.83"/>
  </r>
  <r>
    <s v="ORDER00759"/>
    <x v="50"/>
    <d v="2025-05-23T08:13:56"/>
    <s v="Poster"/>
    <n v="15.75"/>
  </r>
  <r>
    <s v="ORDER00760"/>
    <x v="77"/>
    <d v="2025-07-17T08:13:56"/>
    <s v="Business Card"/>
    <n v="11.12"/>
  </r>
  <r>
    <s v="ORDER00761"/>
    <x v="139"/>
    <d v="2025-08-14T08:13:56"/>
    <s v="Photo Book"/>
    <n v="28.16"/>
  </r>
  <r>
    <s v="ORDER00762"/>
    <x v="274"/>
    <d v="2024-12-03T08:13:56"/>
    <s v="Greeting Card"/>
    <n v="5"/>
  </r>
  <r>
    <s v="ORDER00763"/>
    <x v="275"/>
    <d v="2025-10-13T08:13:56"/>
    <s v="Poster"/>
    <n v="12.43"/>
  </r>
  <r>
    <s v="ORDER00764"/>
    <x v="138"/>
    <d v="2025-02-02T08:13:56"/>
    <s v="Canvas Print"/>
    <n v="37.01"/>
  </r>
  <r>
    <s v="ORDER00765"/>
    <x v="276"/>
    <d v="2025-01-10T08:13:56"/>
    <s v="Greeting Card"/>
    <n v="5.87"/>
  </r>
  <r>
    <s v="ORDER00766"/>
    <x v="41"/>
    <d v="2024-12-08T08:13:56"/>
    <s v="Photo Book"/>
    <n v="28.51"/>
  </r>
  <r>
    <s v="ORDER00767"/>
    <x v="158"/>
    <d v="2025-04-02T08:13:56"/>
    <s v="Business Card"/>
    <n v="14.31"/>
  </r>
  <r>
    <s v="ORDER00768"/>
    <x v="88"/>
    <d v="2025-07-07T08:13:56"/>
    <s v="Greeting Card"/>
    <n v="5.26"/>
  </r>
  <r>
    <s v="ORDER00769"/>
    <x v="182"/>
    <d v="2025-04-10T08:13:56"/>
    <s v="Poster"/>
    <n v="13.49"/>
  </r>
  <r>
    <s v="ORDER00770"/>
    <x v="56"/>
    <d v="2025-02-25T08:13:56"/>
    <s v="Photo Book"/>
    <n v="21.63"/>
  </r>
  <r>
    <s v="ORDER00771"/>
    <x v="41"/>
    <d v="2025-07-16T08:13:56"/>
    <s v="Canvas Print"/>
    <n v="34.99"/>
  </r>
  <r>
    <s v="ORDER00772"/>
    <x v="59"/>
    <d v="2025-09-01T08:13:56"/>
    <s v="Photo Book"/>
    <n v="20.2"/>
  </r>
  <r>
    <s v="ORDER00773"/>
    <x v="10"/>
    <d v="2025-07-25T08:13:56"/>
    <s v="Photo Book"/>
    <n v="23.91"/>
  </r>
  <r>
    <s v="ORDER00774"/>
    <x v="9"/>
    <d v="2024-12-23T08:13:56"/>
    <s v="Flyer"/>
    <n v="8.77"/>
  </r>
  <r>
    <s v="ORDER00775"/>
    <x v="59"/>
    <d v="2025-06-23T08:13:56"/>
    <s v="Photo Book"/>
    <n v="24.12"/>
  </r>
  <r>
    <s v="ORDER00776"/>
    <x v="49"/>
    <d v="2025-06-09T08:13:56"/>
    <s v="Photo Book"/>
    <n v="29.35"/>
  </r>
  <r>
    <s v="ORDER00777"/>
    <x v="277"/>
    <d v="2025-07-08T08:13:56"/>
    <s v="Greeting Card"/>
    <n v="4.8600000000000003"/>
  </r>
  <r>
    <s v="ORDER00778"/>
    <x v="273"/>
    <d v="2025-09-08T08:13:56"/>
    <s v="Canvas Print"/>
    <n v="46.05"/>
  </r>
  <r>
    <s v="ORDER00779"/>
    <x v="249"/>
    <d v="2025-02-19T08:13:56"/>
    <s v="Greeting Card"/>
    <n v="5.21"/>
  </r>
  <r>
    <s v="ORDER00780"/>
    <x v="26"/>
    <d v="2025-07-12T08:13:56"/>
    <s v="Greeting Card"/>
    <n v="4.49"/>
  </r>
  <r>
    <s v="ORDER00781"/>
    <x v="4"/>
    <d v="2025-08-29T08:13:56"/>
    <s v="Poster"/>
    <n v="14.14"/>
  </r>
  <r>
    <s v="ORDER00782"/>
    <x v="193"/>
    <d v="2025-05-25T08:13:56"/>
    <s v="Greeting Card"/>
    <n v="4.17"/>
  </r>
  <r>
    <s v="ORDER00783"/>
    <x v="92"/>
    <d v="2025-06-16T08:13:56"/>
    <s v="Flyer"/>
    <n v="9.33"/>
  </r>
  <r>
    <s v="ORDER00784"/>
    <x v="3"/>
    <d v="2025-10-06T08:13:56"/>
    <s v="Flyer"/>
    <n v="10.71"/>
  </r>
  <r>
    <s v="ORDER00785"/>
    <x v="161"/>
    <d v="2025-01-04T08:13:56"/>
    <s v="Poster"/>
    <n v="12.43"/>
  </r>
  <r>
    <s v="ORDER00786"/>
    <x v="65"/>
    <d v="2025-01-13T08:13:56"/>
    <s v="Business Card"/>
    <n v="10.59"/>
  </r>
  <r>
    <s v="ORDER00787"/>
    <x v="27"/>
    <d v="2025-02-10T08:13:56"/>
    <s v="Canvas Print"/>
    <n v="38.1"/>
  </r>
  <r>
    <s v="ORDER00788"/>
    <x v="208"/>
    <d v="2025-05-10T08:13:56"/>
    <s v="Canvas Print"/>
    <n v="47.71"/>
  </r>
  <r>
    <s v="ORDER00789"/>
    <x v="261"/>
    <d v="2025-07-09T08:13:56"/>
    <s v="Greeting Card"/>
    <n v="5.57"/>
  </r>
  <r>
    <s v="ORDER00790"/>
    <x v="136"/>
    <d v="2025-06-13T08:13:56"/>
    <s v="Greeting Card"/>
    <n v="5.47"/>
  </r>
  <r>
    <s v="ORDER00791"/>
    <x v="97"/>
    <d v="2025-08-20T08:13:56"/>
    <s v="Business Card"/>
    <n v="10.16"/>
  </r>
  <r>
    <s v="ORDER00792"/>
    <x v="87"/>
    <d v="2025-09-01T08:13:56"/>
    <s v="Greeting Card"/>
    <n v="5.56"/>
  </r>
  <r>
    <s v="ORDER00793"/>
    <x v="278"/>
    <d v="2025-02-05T08:13:56"/>
    <s v="Canvas Print"/>
    <n v="44.56"/>
  </r>
  <r>
    <s v="ORDER00794"/>
    <x v="134"/>
    <d v="2025-10-03T08:13:56"/>
    <s v="Photo Book"/>
    <n v="26.01"/>
  </r>
  <r>
    <s v="ORDER00795"/>
    <x v="86"/>
    <d v="2025-08-12T08:13:56"/>
    <s v="Flyer"/>
    <n v="11.96"/>
  </r>
  <r>
    <s v="ORDER00796"/>
    <x v="22"/>
    <d v="2025-09-30T08:13:56"/>
    <s v="Photo Book"/>
    <n v="23.25"/>
  </r>
  <r>
    <s v="ORDER00797"/>
    <x v="190"/>
    <d v="2025-10-12T08:13:56"/>
    <s v="Photo Book"/>
    <n v="29.41"/>
  </r>
  <r>
    <s v="ORDER00798"/>
    <x v="237"/>
    <d v="2025-09-03T08:13:56"/>
    <s v="Canvas Print"/>
    <n v="46.64"/>
  </r>
  <r>
    <s v="ORDER00799"/>
    <x v="279"/>
    <d v="2025-07-06T08:13:56"/>
    <s v="Photo Book"/>
    <n v="20.11"/>
  </r>
  <r>
    <s v="ORDER00800"/>
    <x v="228"/>
    <d v="2025-04-14T08:13:56"/>
    <s v="Business Card"/>
    <n v="11.76"/>
  </r>
  <r>
    <s v="ORDER00801"/>
    <x v="128"/>
    <d v="2025-09-30T08:13:56"/>
    <s v="Poster"/>
    <n v="17.86"/>
  </r>
  <r>
    <s v="ORDER00802"/>
    <x v="254"/>
    <d v="2024-11-29T08:13:56"/>
    <s v="Greeting Card"/>
    <n v="4.21"/>
  </r>
  <r>
    <s v="ORDER00803"/>
    <x v="31"/>
    <d v="2025-07-04T08:13:56"/>
    <s v="Poster"/>
    <n v="15.29"/>
  </r>
  <r>
    <s v="ORDER00804"/>
    <x v="147"/>
    <d v="2025-02-13T08:13:56"/>
    <s v="Flyer"/>
    <n v="11.92"/>
  </r>
  <r>
    <s v="ORDER00805"/>
    <x v="206"/>
    <d v="2024-12-20T08:13:56"/>
    <s v="Greeting Card"/>
    <n v="5.1100000000000003"/>
  </r>
  <r>
    <s v="ORDER00806"/>
    <x v="117"/>
    <d v="2025-01-19T08:13:56"/>
    <s v="Photo Book"/>
    <n v="21.9"/>
  </r>
  <r>
    <s v="ORDER00807"/>
    <x v="271"/>
    <d v="2025-03-12T08:13:56"/>
    <s v="Flyer"/>
    <n v="10.33"/>
  </r>
  <r>
    <s v="ORDER00808"/>
    <x v="202"/>
    <d v="2025-08-11T08:13:56"/>
    <s v="Greeting Card"/>
    <n v="4.41"/>
  </r>
  <r>
    <s v="ORDER00809"/>
    <x v="111"/>
    <d v="2025-03-17T08:13:56"/>
    <s v="Business Card"/>
    <n v="12.09"/>
  </r>
  <r>
    <s v="ORDER00810"/>
    <x v="9"/>
    <d v="2025-05-02T08:13:56"/>
    <s v="Business Card"/>
    <n v="9.9600000000000009"/>
  </r>
  <r>
    <s v="ORDER00811"/>
    <x v="88"/>
    <d v="2025-09-25T08:13:56"/>
    <s v="Business Card"/>
    <n v="12.51"/>
  </r>
  <r>
    <s v="ORDER00812"/>
    <x v="163"/>
    <d v="2025-07-30T08:13:56"/>
    <s v="Business Card"/>
    <n v="12.08"/>
  </r>
  <r>
    <s v="ORDER00813"/>
    <x v="77"/>
    <d v="2025-10-05T08:13:56"/>
    <s v="Photo Book"/>
    <n v="27.4"/>
  </r>
  <r>
    <s v="ORDER00814"/>
    <x v="115"/>
    <d v="2025-01-07T08:13:56"/>
    <s v="Poster"/>
    <n v="15.78"/>
  </r>
  <r>
    <s v="ORDER00815"/>
    <x v="22"/>
    <d v="2024-12-03T08:13:56"/>
    <s v="Greeting Card"/>
    <n v="5.0999999999999996"/>
  </r>
  <r>
    <s v="ORDER00816"/>
    <x v="162"/>
    <d v="2025-07-19T08:13:56"/>
    <s v="Photo Book"/>
    <n v="26.9"/>
  </r>
  <r>
    <s v="ORDER00817"/>
    <x v="21"/>
    <d v="2024-12-22T08:13:56"/>
    <s v="Business Card"/>
    <n v="10.29"/>
  </r>
  <r>
    <s v="ORDER00818"/>
    <x v="52"/>
    <d v="2025-05-23T08:13:56"/>
    <s v="Poster"/>
    <n v="15.57"/>
  </r>
  <r>
    <s v="ORDER00819"/>
    <x v="218"/>
    <d v="2025-03-05T08:13:56"/>
    <s v="Flyer"/>
    <n v="8.69"/>
  </r>
  <r>
    <s v="ORDER00820"/>
    <x v="169"/>
    <d v="2025-06-22T08:13:56"/>
    <s v="Flyer"/>
    <n v="11.7"/>
  </r>
  <r>
    <s v="ORDER00821"/>
    <x v="1"/>
    <d v="2024-12-12T08:13:56"/>
    <s v="Flyer"/>
    <n v="8.27"/>
  </r>
  <r>
    <s v="ORDER00822"/>
    <x v="43"/>
    <d v="2025-06-27T08:13:56"/>
    <s v="Business Card"/>
    <n v="11.67"/>
  </r>
  <r>
    <s v="ORDER00823"/>
    <x v="246"/>
    <d v="2025-02-18T08:13:56"/>
    <s v="Flyer"/>
    <n v="10.78"/>
  </r>
  <r>
    <s v="ORDER00824"/>
    <x v="204"/>
    <d v="2025-07-06T08:13:56"/>
    <s v="Canvas Print"/>
    <n v="39.33"/>
  </r>
  <r>
    <s v="ORDER00825"/>
    <x v="278"/>
    <d v="2025-03-30T08:13:56"/>
    <s v="Greeting Card"/>
    <n v="4.18"/>
  </r>
  <r>
    <s v="ORDER00826"/>
    <x v="192"/>
    <d v="2025-05-01T08:13:56"/>
    <s v="Greeting Card"/>
    <n v="5.1100000000000003"/>
  </r>
  <r>
    <s v="ORDER00827"/>
    <x v="251"/>
    <d v="2025-10-01T08:13:56"/>
    <s v="Business Card"/>
    <n v="12.68"/>
  </r>
  <r>
    <s v="ORDER00828"/>
    <x v="69"/>
    <d v="2025-02-02T08:13:56"/>
    <s v="Canvas Print"/>
    <n v="43.26"/>
  </r>
  <r>
    <s v="ORDER00829"/>
    <x v="111"/>
    <d v="2024-11-07T08:13:56"/>
    <s v="Photo Book"/>
    <n v="23.73"/>
  </r>
  <r>
    <s v="ORDER00830"/>
    <x v="78"/>
    <d v="2025-10-25T08:13:56"/>
    <s v="Photo Book"/>
    <n v="25.64"/>
  </r>
  <r>
    <s v="ORDER00831"/>
    <x v="280"/>
    <d v="2025-05-02T08:13:56"/>
    <s v="Flyer"/>
    <n v="9.8000000000000007"/>
  </r>
  <r>
    <s v="ORDER00832"/>
    <x v="200"/>
    <d v="2025-08-07T08:13:56"/>
    <s v="Poster"/>
    <n v="16.03"/>
  </r>
  <r>
    <s v="ORDER00833"/>
    <x v="115"/>
    <d v="2025-05-13T08:13:56"/>
    <s v="Photo Book"/>
    <n v="25.84"/>
  </r>
  <r>
    <s v="ORDER00834"/>
    <x v="219"/>
    <d v="2025-10-17T08:13:56"/>
    <s v="Poster"/>
    <n v="15.15"/>
  </r>
  <r>
    <s v="ORDER00835"/>
    <x v="51"/>
    <d v="2025-05-13T08:13:56"/>
    <s v="Greeting Card"/>
    <n v="4.5"/>
  </r>
  <r>
    <s v="ORDER00836"/>
    <x v="148"/>
    <d v="2025-04-03T08:13:56"/>
    <s v="Poster"/>
    <n v="12.01"/>
  </r>
  <r>
    <s v="ORDER00837"/>
    <x v="70"/>
    <d v="2025-01-31T08:13:56"/>
    <s v="Greeting Card"/>
    <n v="4.3499999999999996"/>
  </r>
  <r>
    <s v="ORDER00838"/>
    <x v="2"/>
    <d v="2025-04-08T08:13:56"/>
    <s v="Canvas Print"/>
    <n v="33.869999999999997"/>
  </r>
  <r>
    <s v="ORDER00839"/>
    <x v="66"/>
    <d v="2024-12-30T08:13:56"/>
    <s v="Canvas Print"/>
    <n v="39.19"/>
  </r>
  <r>
    <s v="ORDER00840"/>
    <x v="151"/>
    <d v="2025-03-01T08:13:56"/>
    <s v="Business Card"/>
    <n v="12.54"/>
  </r>
  <r>
    <s v="ORDER00841"/>
    <x v="280"/>
    <d v="2024-12-20T08:13:56"/>
    <s v="Business Card"/>
    <n v="10.62"/>
  </r>
  <r>
    <s v="ORDER00842"/>
    <x v="160"/>
    <d v="2025-08-03T08:13:56"/>
    <s v="Flyer"/>
    <n v="11.76"/>
  </r>
  <r>
    <s v="ORDER00843"/>
    <x v="139"/>
    <d v="2024-11-04T08:13:56"/>
    <s v="Photo Book"/>
    <n v="20.07"/>
  </r>
  <r>
    <s v="ORDER00844"/>
    <x v="199"/>
    <d v="2025-01-30T08:13:56"/>
    <s v="Flyer"/>
    <n v="11.09"/>
  </r>
  <r>
    <s v="ORDER00845"/>
    <x v="134"/>
    <d v="2025-04-18T08:13:56"/>
    <s v="Greeting Card"/>
    <n v="5.25"/>
  </r>
  <r>
    <s v="ORDER00846"/>
    <x v="57"/>
    <d v="2025-09-12T08:13:56"/>
    <s v="Flyer"/>
    <n v="9.49"/>
  </r>
  <r>
    <s v="ORDER00847"/>
    <x v="32"/>
    <d v="2024-11-21T08:13:56"/>
    <s v="Poster"/>
    <n v="12.3"/>
  </r>
  <r>
    <s v="ORDER00848"/>
    <x v="63"/>
    <d v="2025-09-21T08:13:56"/>
    <s v="Greeting Card"/>
    <n v="5.25"/>
  </r>
  <r>
    <s v="ORDER00849"/>
    <x v="128"/>
    <d v="2024-10-31T08:13:56"/>
    <s v="Business Card"/>
    <n v="11.45"/>
  </r>
  <r>
    <s v="ORDER00850"/>
    <x v="281"/>
    <d v="2025-03-12T08:13:56"/>
    <s v="Canvas Print"/>
    <n v="46.98"/>
  </r>
  <r>
    <s v="ORDER00851"/>
    <x v="191"/>
    <d v="2025-06-20T08:13:56"/>
    <s v="Business Card"/>
    <n v="12.2"/>
  </r>
  <r>
    <s v="ORDER00852"/>
    <x v="162"/>
    <d v="2024-11-11T08:13:56"/>
    <s v="Photo Book"/>
    <n v="29.4"/>
  </r>
  <r>
    <s v="ORDER00853"/>
    <x v="83"/>
    <d v="2025-10-11T08:13:56"/>
    <s v="Greeting Card"/>
    <n v="4.4400000000000004"/>
  </r>
  <r>
    <s v="ORDER00854"/>
    <x v="131"/>
    <d v="2024-12-15T08:13:56"/>
    <s v="Greeting Card"/>
    <n v="5.45"/>
  </r>
  <r>
    <s v="ORDER00855"/>
    <x v="49"/>
    <d v="2024-12-03T08:13:56"/>
    <s v="Poster"/>
    <n v="15.7"/>
  </r>
  <r>
    <s v="ORDER00856"/>
    <x v="209"/>
    <d v="2025-01-16T08:13:56"/>
    <s v="Photo Book"/>
    <n v="27.39"/>
  </r>
  <r>
    <s v="ORDER00857"/>
    <x v="71"/>
    <d v="2025-06-05T08:13:56"/>
    <s v="Canvas Print"/>
    <n v="35.43"/>
  </r>
  <r>
    <s v="ORDER00858"/>
    <x v="195"/>
    <d v="2025-08-27T08:13:56"/>
    <s v="Greeting Card"/>
    <n v="5.33"/>
  </r>
  <r>
    <s v="ORDER00859"/>
    <x v="20"/>
    <d v="2025-01-11T08:13:56"/>
    <s v="Greeting Card"/>
    <n v="5"/>
  </r>
  <r>
    <s v="ORDER00860"/>
    <x v="58"/>
    <d v="2025-08-08T08:13:56"/>
    <s v="Poster"/>
    <n v="16.46"/>
  </r>
  <r>
    <s v="ORDER00861"/>
    <x v="22"/>
    <d v="2025-07-06T08:13:56"/>
    <s v="Flyer"/>
    <n v="9.31"/>
  </r>
  <r>
    <s v="ORDER00862"/>
    <x v="153"/>
    <d v="2024-12-16T08:13:56"/>
    <s v="Canvas Print"/>
    <n v="46.24"/>
  </r>
  <r>
    <s v="ORDER00863"/>
    <x v="92"/>
    <d v="2025-02-28T08:13:56"/>
    <s v="Business Card"/>
    <n v="10"/>
  </r>
  <r>
    <s v="ORDER00864"/>
    <x v="223"/>
    <d v="2025-06-01T08:13:56"/>
    <s v="Photo Book"/>
    <n v="28.07"/>
  </r>
  <r>
    <s v="ORDER00865"/>
    <x v="166"/>
    <d v="2025-06-26T08:13:56"/>
    <s v="Greeting Card"/>
    <n v="5.72"/>
  </r>
  <r>
    <s v="ORDER00866"/>
    <x v="17"/>
    <d v="2024-12-25T08:13:56"/>
    <s v="Greeting Card"/>
    <n v="5.63"/>
  </r>
  <r>
    <s v="ORDER00867"/>
    <x v="107"/>
    <d v="2025-10-15T08:13:56"/>
    <s v="Business Card"/>
    <n v="12.06"/>
  </r>
  <r>
    <s v="ORDER00868"/>
    <x v="272"/>
    <d v="2025-02-14T08:13:56"/>
    <s v="Canvas Print"/>
    <n v="39.01"/>
  </r>
  <r>
    <s v="ORDER00869"/>
    <x v="252"/>
    <d v="2025-09-14T08:13:56"/>
    <s v="Flyer"/>
    <n v="11.99"/>
  </r>
  <r>
    <s v="ORDER00870"/>
    <x v="46"/>
    <d v="2024-12-17T08:13:56"/>
    <s v="Greeting Card"/>
    <n v="4.46"/>
  </r>
  <r>
    <s v="ORDER00871"/>
    <x v="198"/>
    <d v="2024-12-30T08:13:56"/>
    <s v="Canvas Print"/>
    <n v="40.75"/>
  </r>
  <r>
    <s v="ORDER00872"/>
    <x v="1"/>
    <d v="2025-10-02T08:13:56"/>
    <s v="Business Card"/>
    <n v="12.82"/>
  </r>
  <r>
    <s v="ORDER00873"/>
    <x v="240"/>
    <d v="2024-11-25T08:13:56"/>
    <s v="Poster"/>
    <n v="16.21"/>
  </r>
  <r>
    <s v="ORDER00874"/>
    <x v="36"/>
    <d v="2025-08-18T08:13:56"/>
    <s v="Flyer"/>
    <n v="8.82"/>
  </r>
  <r>
    <s v="ORDER00875"/>
    <x v="212"/>
    <d v="2025-07-14T08:13:56"/>
    <s v="Photo Book"/>
    <n v="26.54"/>
  </r>
  <r>
    <s v="ORDER00876"/>
    <x v="216"/>
    <d v="2024-11-07T08:13:56"/>
    <s v="Greeting Card"/>
    <n v="5.64"/>
  </r>
  <r>
    <s v="ORDER00877"/>
    <x v="198"/>
    <d v="2025-02-20T08:13:56"/>
    <s v="Canvas Print"/>
    <n v="32.799999999999997"/>
  </r>
  <r>
    <s v="ORDER00878"/>
    <x v="218"/>
    <d v="2025-10-20T08:13:56"/>
    <s v="Poster"/>
    <n v="17.47"/>
  </r>
  <r>
    <s v="ORDER00879"/>
    <x v="247"/>
    <d v="2025-07-10T08:13:56"/>
    <s v="Photo Book"/>
    <n v="20.3"/>
  </r>
  <r>
    <s v="ORDER00880"/>
    <x v="67"/>
    <d v="2025-04-28T08:13:56"/>
    <s v="Canvas Print"/>
    <n v="37.700000000000003"/>
  </r>
  <r>
    <s v="ORDER00881"/>
    <x v="180"/>
    <d v="2025-05-25T08:13:56"/>
    <s v="Canvas Print"/>
    <n v="32.25"/>
  </r>
  <r>
    <s v="ORDER00882"/>
    <x v="203"/>
    <d v="2025-08-29T08:13:56"/>
    <s v="Photo Book"/>
    <n v="20.77"/>
  </r>
  <r>
    <s v="ORDER00883"/>
    <x v="35"/>
    <d v="2025-03-06T08:13:56"/>
    <s v="Poster"/>
    <n v="17.47"/>
  </r>
  <r>
    <s v="ORDER00884"/>
    <x v="203"/>
    <d v="2024-12-25T08:13:56"/>
    <s v="Business Card"/>
    <n v="11.3"/>
  </r>
  <r>
    <s v="ORDER00885"/>
    <x v="126"/>
    <d v="2025-06-01T08:13:56"/>
    <s v="Poster"/>
    <n v="14.55"/>
  </r>
  <r>
    <s v="ORDER00886"/>
    <x v="157"/>
    <d v="2024-11-13T08:13:56"/>
    <s v="Flyer"/>
    <n v="8.86"/>
  </r>
  <r>
    <s v="ORDER00887"/>
    <x v="282"/>
    <d v="2024-11-27T08:13:56"/>
    <s v="Greeting Card"/>
    <n v="5.19"/>
  </r>
  <r>
    <s v="ORDER00888"/>
    <x v="199"/>
    <d v="2025-01-16T08:13:56"/>
    <s v="Photo Book"/>
    <n v="25.95"/>
  </r>
  <r>
    <s v="ORDER00889"/>
    <x v="36"/>
    <d v="2025-06-03T08:13:56"/>
    <s v="Business Card"/>
    <n v="11.39"/>
  </r>
  <r>
    <s v="ORDER00890"/>
    <x v="30"/>
    <d v="2025-10-30T08:13:56"/>
    <s v="Photo Book"/>
    <n v="23.33"/>
  </r>
  <r>
    <s v="ORDER00891"/>
    <x v="47"/>
    <d v="2025-04-02T08:13:56"/>
    <s v="Photo Book"/>
    <n v="28.85"/>
  </r>
  <r>
    <s v="ORDER00892"/>
    <x v="221"/>
    <d v="2024-11-13T08:13:56"/>
    <s v="Poster"/>
    <n v="14.3"/>
  </r>
  <r>
    <s v="ORDER00893"/>
    <x v="20"/>
    <d v="2025-05-05T08:13:56"/>
    <s v="Greeting Card"/>
    <n v="4.99"/>
  </r>
  <r>
    <s v="ORDER00894"/>
    <x v="211"/>
    <d v="2025-09-07T08:13:56"/>
    <s v="Flyer"/>
    <n v="9.1300000000000008"/>
  </r>
  <r>
    <s v="ORDER00895"/>
    <x v="47"/>
    <d v="2024-11-06T08:13:56"/>
    <s v="Canvas Print"/>
    <n v="44.59"/>
  </r>
  <r>
    <s v="ORDER00896"/>
    <x v="261"/>
    <d v="2024-11-02T08:13:56"/>
    <s v="Canvas Print"/>
    <n v="38.36"/>
  </r>
  <r>
    <s v="ORDER00897"/>
    <x v="120"/>
    <d v="2025-02-18T08:13:56"/>
    <s v="Photo Book"/>
    <n v="25.14"/>
  </r>
  <r>
    <s v="ORDER00898"/>
    <x v="29"/>
    <d v="2025-06-25T08:13:56"/>
    <s v="Greeting Card"/>
    <n v="4.51"/>
  </r>
  <r>
    <s v="ORDER00899"/>
    <x v="203"/>
    <d v="2025-10-28T08:13:56"/>
    <s v="Business Card"/>
    <n v="14.34"/>
  </r>
  <r>
    <s v="ORDER00900"/>
    <x v="25"/>
    <d v="2025-06-26T08:13:56"/>
    <s v="Poster"/>
    <n v="13.75"/>
  </r>
  <r>
    <s v="ORDER00901"/>
    <x v="98"/>
    <d v="2025-07-31T08:13:56"/>
    <s v="Greeting Card"/>
    <n v="5.54"/>
  </r>
  <r>
    <s v="ORDER00902"/>
    <x v="13"/>
    <d v="2025-08-20T08:13:56"/>
    <s v="Greeting Card"/>
    <n v="4.8499999999999996"/>
  </r>
  <r>
    <s v="ORDER00903"/>
    <x v="222"/>
    <d v="2025-06-14T08:13:56"/>
    <s v="Poster"/>
    <n v="13.24"/>
  </r>
  <r>
    <s v="ORDER00904"/>
    <x v="152"/>
    <d v="2024-11-14T08:13:56"/>
    <s v="Photo Book"/>
    <n v="28"/>
  </r>
  <r>
    <s v="ORDER00905"/>
    <x v="77"/>
    <d v="2025-05-10T08:13:56"/>
    <s v="Greeting Card"/>
    <n v="4.67"/>
  </r>
  <r>
    <s v="ORDER00906"/>
    <x v="103"/>
    <d v="2025-02-26T08:13:56"/>
    <s v="Canvas Print"/>
    <n v="45.84"/>
  </r>
  <r>
    <s v="ORDER00907"/>
    <x v="269"/>
    <d v="2024-11-27T08:13:56"/>
    <s v="Poster"/>
    <n v="17.489999999999998"/>
  </r>
  <r>
    <s v="ORDER00908"/>
    <x v="104"/>
    <d v="2025-05-20T08:13:56"/>
    <s v="Business Card"/>
    <n v="13.73"/>
  </r>
  <r>
    <s v="ORDER00909"/>
    <x v="48"/>
    <d v="2024-12-08T08:13:56"/>
    <s v="Flyer"/>
    <n v="8.14"/>
  </r>
  <r>
    <s v="ORDER00910"/>
    <x v="204"/>
    <d v="2025-07-30T08:13:56"/>
    <s v="Photo Book"/>
    <n v="27.87"/>
  </r>
  <r>
    <s v="ORDER00911"/>
    <x v="87"/>
    <d v="2025-06-18T08:13:56"/>
    <s v="Poster"/>
    <n v="14.47"/>
  </r>
  <r>
    <s v="ORDER00912"/>
    <x v="88"/>
    <d v="2025-01-24T08:13:56"/>
    <s v="Flyer"/>
    <n v="11.49"/>
  </r>
  <r>
    <s v="ORDER00913"/>
    <x v="270"/>
    <d v="2025-03-05T08:13:56"/>
    <s v="Flyer"/>
    <n v="10.55"/>
  </r>
  <r>
    <s v="ORDER00914"/>
    <x v="68"/>
    <d v="2025-08-26T08:13:56"/>
    <s v="Business Card"/>
    <n v="13.6"/>
  </r>
  <r>
    <s v="ORDER00915"/>
    <x v="258"/>
    <d v="2024-11-24T08:13:56"/>
    <s v="Greeting Card"/>
    <n v="5"/>
  </r>
  <r>
    <s v="ORDER00916"/>
    <x v="283"/>
    <d v="2025-03-24T08:13:56"/>
    <s v="Business Card"/>
    <n v="12.17"/>
  </r>
  <r>
    <s v="ORDER00917"/>
    <x v="259"/>
    <d v="2024-11-12T08:13:56"/>
    <s v="Greeting Card"/>
    <n v="4.29"/>
  </r>
  <r>
    <s v="ORDER00918"/>
    <x v="228"/>
    <d v="2025-05-30T08:13:56"/>
    <s v="Greeting Card"/>
    <n v="5.57"/>
  </r>
  <r>
    <s v="ORDER00919"/>
    <x v="103"/>
    <d v="2024-11-24T08:13:56"/>
    <s v="Poster"/>
    <n v="14.52"/>
  </r>
  <r>
    <s v="ORDER00920"/>
    <x v="235"/>
    <d v="2025-01-06T08:13:56"/>
    <s v="Poster"/>
    <n v="15"/>
  </r>
  <r>
    <s v="ORDER00921"/>
    <x v="173"/>
    <d v="2025-01-05T08:13:56"/>
    <s v="Photo Book"/>
    <n v="27.85"/>
  </r>
  <r>
    <s v="ORDER00922"/>
    <x v="76"/>
    <d v="2025-06-20T08:13:56"/>
    <s v="Greeting Card"/>
    <n v="5.2"/>
  </r>
  <r>
    <s v="ORDER00923"/>
    <x v="284"/>
    <d v="2025-02-16T08:13:56"/>
    <s v="Flyer"/>
    <n v="8.8000000000000007"/>
  </r>
  <r>
    <s v="ORDER00924"/>
    <x v="93"/>
    <d v="2025-03-25T08:13:56"/>
    <s v="Canvas Print"/>
    <n v="41.44"/>
  </r>
  <r>
    <s v="ORDER00925"/>
    <x v="258"/>
    <d v="2025-02-18T08:13:56"/>
    <s v="Photo Book"/>
    <n v="24.08"/>
  </r>
  <r>
    <s v="ORDER00926"/>
    <x v="266"/>
    <d v="2025-06-15T08:13:56"/>
    <s v="Poster"/>
    <n v="14.82"/>
  </r>
  <r>
    <s v="ORDER00927"/>
    <x v="84"/>
    <d v="2025-02-18T08:13:56"/>
    <s v="Business Card"/>
    <n v="9.74"/>
  </r>
  <r>
    <s v="ORDER00928"/>
    <x v="205"/>
    <d v="2024-12-03T08:13:56"/>
    <s v="Photo Book"/>
    <n v="22.1"/>
  </r>
  <r>
    <s v="ORDER00929"/>
    <x v="281"/>
    <d v="2025-02-18T08:13:56"/>
    <s v="Photo Book"/>
    <n v="22.81"/>
  </r>
  <r>
    <s v="ORDER00930"/>
    <x v="225"/>
    <d v="2025-07-21T08:13:56"/>
    <s v="Photo Book"/>
    <n v="27.13"/>
  </r>
  <r>
    <s v="ORDER00931"/>
    <x v="184"/>
    <d v="2025-06-23T08:13:56"/>
    <s v="Photo Book"/>
    <n v="20.11"/>
  </r>
  <r>
    <s v="ORDER00932"/>
    <x v="57"/>
    <d v="2025-01-21T08:13:56"/>
    <s v="Canvas Print"/>
    <n v="38.54"/>
  </r>
  <r>
    <s v="ORDER00933"/>
    <x v="144"/>
    <d v="2024-12-11T08:13:56"/>
    <s v="Business Card"/>
    <n v="14.04"/>
  </r>
  <r>
    <s v="ORDER00934"/>
    <x v="117"/>
    <d v="2025-02-08T08:13:56"/>
    <s v="Business Card"/>
    <n v="10.14"/>
  </r>
  <r>
    <s v="ORDER00935"/>
    <x v="29"/>
    <d v="2024-11-05T08:13:56"/>
    <s v="Business Card"/>
    <n v="12.08"/>
  </r>
  <r>
    <s v="ORDER00936"/>
    <x v="71"/>
    <d v="2025-04-28T08:13:56"/>
    <s v="Greeting Card"/>
    <n v="5.57"/>
  </r>
  <r>
    <s v="ORDER00937"/>
    <x v="125"/>
    <d v="2025-08-08T08:13:56"/>
    <s v="Flyer"/>
    <n v="11.77"/>
  </r>
  <r>
    <s v="ORDER00938"/>
    <x v="90"/>
    <d v="2025-09-15T08:13:56"/>
    <s v="Business Card"/>
    <n v="13.18"/>
  </r>
  <r>
    <s v="ORDER00939"/>
    <x v="124"/>
    <d v="2025-06-13T08:13:56"/>
    <s v="Photo Book"/>
    <n v="27.21"/>
  </r>
  <r>
    <s v="ORDER00940"/>
    <x v="181"/>
    <d v="2025-09-10T08:13:56"/>
    <s v="Photo Book"/>
    <n v="28.26"/>
  </r>
  <r>
    <s v="ORDER00941"/>
    <x v="158"/>
    <d v="2025-10-30T08:13:56"/>
    <s v="Business Card"/>
    <n v="11.74"/>
  </r>
  <r>
    <s v="ORDER00942"/>
    <x v="247"/>
    <d v="2025-06-16T08:13:56"/>
    <s v="Business Card"/>
    <n v="13.47"/>
  </r>
  <r>
    <s v="ORDER00943"/>
    <x v="35"/>
    <d v="2025-08-15T08:13:56"/>
    <s v="Photo Book"/>
    <n v="20.079999999999998"/>
  </r>
  <r>
    <s v="ORDER00944"/>
    <x v="107"/>
    <d v="2025-03-29T08:13:56"/>
    <s v="Greeting Card"/>
    <n v="5.85"/>
  </r>
  <r>
    <s v="ORDER00945"/>
    <x v="150"/>
    <d v="2025-08-03T08:13:56"/>
    <s v="Poster"/>
    <n v="14.66"/>
  </r>
  <r>
    <s v="ORDER00946"/>
    <x v="202"/>
    <d v="2025-05-16T08:13:56"/>
    <s v="Poster"/>
    <n v="15.32"/>
  </r>
  <r>
    <s v="ORDER00947"/>
    <x v="250"/>
    <d v="2025-01-08T08:13:56"/>
    <s v="Business Card"/>
    <n v="10.82"/>
  </r>
  <r>
    <s v="ORDER00948"/>
    <x v="51"/>
    <d v="2025-02-19T08:13:56"/>
    <s v="Canvas Print"/>
    <n v="43.88"/>
  </r>
  <r>
    <s v="ORDER00949"/>
    <x v="67"/>
    <d v="2024-11-03T08:13:56"/>
    <s v="Business Card"/>
    <n v="9.9700000000000006"/>
  </r>
  <r>
    <s v="ORDER00950"/>
    <x v="285"/>
    <d v="2025-10-15T08:13:56"/>
    <s v="Business Card"/>
    <n v="13.79"/>
  </r>
  <r>
    <s v="ORDER00951"/>
    <x v="229"/>
    <d v="2025-09-26T08:13:56"/>
    <s v="Poster"/>
    <n v="16.97"/>
  </r>
  <r>
    <s v="ORDER00952"/>
    <x v="276"/>
    <d v="2025-09-13T08:13:56"/>
    <s v="Photo Book"/>
    <n v="22.16"/>
  </r>
  <r>
    <s v="ORDER00953"/>
    <x v="155"/>
    <d v="2025-10-15T08:13:56"/>
    <s v="Business Card"/>
    <n v="13.48"/>
  </r>
  <r>
    <s v="ORDER00954"/>
    <x v="10"/>
    <d v="2025-02-02T08:13:56"/>
    <s v="Photo Book"/>
    <n v="27.86"/>
  </r>
  <r>
    <s v="ORDER00955"/>
    <x v="150"/>
    <d v="2025-03-31T08:13:56"/>
    <s v="Photo Book"/>
    <n v="26.32"/>
  </r>
  <r>
    <s v="ORDER00956"/>
    <x v="6"/>
    <d v="2025-09-06T08:13:56"/>
    <s v="Canvas Print"/>
    <n v="37.979999999999997"/>
  </r>
  <r>
    <s v="ORDER00957"/>
    <x v="73"/>
    <d v="2025-03-16T08:13:56"/>
    <s v="Photo Book"/>
    <n v="22.71"/>
  </r>
  <r>
    <s v="ORDER00958"/>
    <x v="72"/>
    <d v="2025-07-04T08:13:56"/>
    <s v="Poster"/>
    <n v="13.39"/>
  </r>
  <r>
    <s v="ORDER00959"/>
    <x v="84"/>
    <d v="2025-06-30T08:13:56"/>
    <s v="Greeting Card"/>
    <n v="4.6399999999999997"/>
  </r>
  <r>
    <s v="ORDER00960"/>
    <x v="65"/>
    <d v="2024-11-30T08:13:56"/>
    <s v="Greeting Card"/>
    <n v="5.81"/>
  </r>
  <r>
    <s v="ORDER00961"/>
    <x v="266"/>
    <d v="2024-12-09T08:13:56"/>
    <s v="Flyer"/>
    <n v="8.31"/>
  </r>
  <r>
    <s v="ORDER00962"/>
    <x v="96"/>
    <d v="2025-06-16T08:13:56"/>
    <s v="Business Card"/>
    <n v="13.58"/>
  </r>
  <r>
    <s v="ORDER00963"/>
    <x v="272"/>
    <d v="2024-12-05T08:13:56"/>
    <s v="Poster"/>
    <n v="14.09"/>
  </r>
  <r>
    <s v="ORDER00964"/>
    <x v="209"/>
    <d v="2025-06-10T08:13:56"/>
    <s v="Photo Book"/>
    <n v="25.22"/>
  </r>
  <r>
    <s v="ORDER00965"/>
    <x v="171"/>
    <d v="2024-11-05T08:13:56"/>
    <s v="Greeting Card"/>
    <n v="5.59"/>
  </r>
  <r>
    <s v="ORDER00966"/>
    <x v="258"/>
    <d v="2025-09-17T08:13:56"/>
    <s v="Poster"/>
    <n v="17.309999999999999"/>
  </r>
  <r>
    <s v="ORDER00967"/>
    <x v="3"/>
    <d v="2025-06-07T08:13:56"/>
    <s v="Greeting Card"/>
    <n v="4.6900000000000004"/>
  </r>
  <r>
    <s v="ORDER00968"/>
    <x v="279"/>
    <d v="2025-01-13T08:13:56"/>
    <s v="Photo Book"/>
    <n v="24.62"/>
  </r>
  <r>
    <s v="ORDER00969"/>
    <x v="44"/>
    <d v="2024-11-03T08:13:56"/>
    <s v="Greeting Card"/>
    <n v="4.83"/>
  </r>
  <r>
    <s v="ORDER00970"/>
    <x v="215"/>
    <d v="2025-09-30T08:13:56"/>
    <s v="Business Card"/>
    <n v="9.66"/>
  </r>
  <r>
    <s v="ORDER00971"/>
    <x v="227"/>
    <d v="2025-03-13T08:13:56"/>
    <s v="Business Card"/>
    <n v="11.02"/>
  </r>
  <r>
    <s v="ORDER00972"/>
    <x v="112"/>
    <d v="2025-02-25T08:13:56"/>
    <s v="Flyer"/>
    <n v="9.84"/>
  </r>
  <r>
    <s v="ORDER00973"/>
    <x v="260"/>
    <d v="2025-02-01T08:13:56"/>
    <s v="Flyer"/>
    <n v="9.64"/>
  </r>
  <r>
    <s v="ORDER00974"/>
    <x v="118"/>
    <d v="2024-12-31T08:13:56"/>
    <s v="Greeting Card"/>
    <n v="5.44"/>
  </r>
  <r>
    <s v="ORDER00975"/>
    <x v="104"/>
    <d v="2025-05-12T08:13:56"/>
    <s v="Poster"/>
    <n v="14.31"/>
  </r>
  <r>
    <s v="ORDER00976"/>
    <x v="88"/>
    <d v="2025-09-30T08:13:56"/>
    <s v="Business Card"/>
    <n v="11.95"/>
  </r>
  <r>
    <s v="ORDER00977"/>
    <x v="233"/>
    <d v="2025-05-21T08:13:56"/>
    <s v="Poster"/>
    <n v="14.58"/>
  </r>
  <r>
    <s v="ORDER00978"/>
    <x v="263"/>
    <d v="2024-11-25T08:13:56"/>
    <s v="Poster"/>
    <n v="16.440000000000001"/>
  </r>
  <r>
    <s v="ORDER00979"/>
    <x v="112"/>
    <d v="2025-04-21T08:13:56"/>
    <s v="Greeting Card"/>
    <n v="5.73"/>
  </r>
  <r>
    <s v="ORDER00980"/>
    <x v="126"/>
    <d v="2025-08-26T08:13:56"/>
    <s v="Poster"/>
    <n v="15.19"/>
  </r>
  <r>
    <s v="ORDER00981"/>
    <x v="274"/>
    <d v="2025-03-12T08:13:56"/>
    <s v="Business Card"/>
    <n v="13.39"/>
  </r>
  <r>
    <s v="ORDER00982"/>
    <x v="24"/>
    <d v="2025-09-21T08:13:56"/>
    <s v="Photo Book"/>
    <n v="22.97"/>
  </r>
  <r>
    <s v="ORDER00983"/>
    <x v="286"/>
    <d v="2025-02-25T08:13:56"/>
    <s v="Flyer"/>
    <n v="10.17"/>
  </r>
  <r>
    <s v="ORDER00984"/>
    <x v="102"/>
    <d v="2025-09-19T08:13:56"/>
    <s v="Photo Book"/>
    <n v="23.45"/>
  </r>
  <r>
    <s v="ORDER00985"/>
    <x v="181"/>
    <d v="2025-08-01T08:13:56"/>
    <s v="Poster"/>
    <n v="14.49"/>
  </r>
  <r>
    <s v="ORDER00986"/>
    <x v="193"/>
    <d v="2025-05-30T08:13:56"/>
    <s v="Photo Book"/>
    <n v="27.32"/>
  </r>
  <r>
    <s v="ORDER00987"/>
    <x v="251"/>
    <d v="2025-06-12T08:13:56"/>
    <s v="Business Card"/>
    <n v="13.83"/>
  </r>
  <r>
    <s v="ORDER00988"/>
    <x v="17"/>
    <d v="2024-11-19T08:13:56"/>
    <s v="Business Card"/>
    <n v="10.18"/>
  </r>
  <r>
    <s v="ORDER00989"/>
    <x v="128"/>
    <d v="2025-02-20T08:13:56"/>
    <s v="Poster"/>
    <n v="15.81"/>
  </r>
  <r>
    <s v="ORDER00990"/>
    <x v="118"/>
    <d v="2025-03-19T08:13:56"/>
    <s v="Greeting Card"/>
    <n v="5.16"/>
  </r>
  <r>
    <s v="ORDER00991"/>
    <x v="202"/>
    <d v="2024-12-16T08:13:56"/>
    <s v="Photo Book"/>
    <n v="21.18"/>
  </r>
  <r>
    <s v="ORDER00992"/>
    <x v="165"/>
    <d v="2024-10-31T08:13:56"/>
    <s v="Greeting Card"/>
    <n v="4.42"/>
  </r>
  <r>
    <s v="ORDER00993"/>
    <x v="1"/>
    <d v="2025-01-28T08:13:56"/>
    <s v="Greeting Card"/>
    <n v="4.62"/>
  </r>
  <r>
    <s v="ORDER00994"/>
    <x v="162"/>
    <d v="2025-03-21T08:13:56"/>
    <s v="Canvas Print"/>
    <n v="34.67"/>
  </r>
  <r>
    <s v="ORDER00995"/>
    <x v="101"/>
    <d v="2025-09-15T08:13:56"/>
    <s v="Poster"/>
    <n v="13.46"/>
  </r>
  <r>
    <s v="ORDER00996"/>
    <x v="116"/>
    <d v="2024-12-07T08:13:56"/>
    <s v="Flyer"/>
    <n v="9.07"/>
  </r>
  <r>
    <s v="ORDER00997"/>
    <x v="88"/>
    <d v="2025-08-19T08:13:56"/>
    <s v="Business Card"/>
    <n v="11.21"/>
  </r>
  <r>
    <s v="ORDER00998"/>
    <x v="47"/>
    <d v="2025-03-18T08:13:56"/>
    <s v="Business Card"/>
    <n v="13.2"/>
  </r>
  <r>
    <s v="ORDER00999"/>
    <x v="232"/>
    <d v="2025-10-21T08:13:56"/>
    <s v="Poster"/>
    <n v="15.43"/>
  </r>
  <r>
    <s v="ORDER01000"/>
    <x v="81"/>
    <d v="2025-09-28T08:13:56"/>
    <s v="Flyer"/>
    <n v="11.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69969-7858-472D-8D03-9304DEB16FC9}" name="PivotTable1" cacheId="68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291" firstHeaderRow="0" firstDataRow="1" firstDataCol="1"/>
  <pivotFields count="5">
    <pivotField dataField="1" compact="0" outline="0" showAll="0"/>
    <pivotField axis="axisRow" compact="0" outline="0" showAll="0">
      <items count="288">
        <item x="22"/>
        <item x="158"/>
        <item x="222"/>
        <item x="178"/>
        <item x="32"/>
        <item x="149"/>
        <item x="139"/>
        <item x="171"/>
        <item x="3"/>
        <item x="81"/>
        <item x="204"/>
        <item x="7"/>
        <item x="41"/>
        <item x="55"/>
        <item x="210"/>
        <item x="109"/>
        <item x="127"/>
        <item x="126"/>
        <item x="163"/>
        <item x="259"/>
        <item x="253"/>
        <item x="45"/>
        <item x="264"/>
        <item x="106"/>
        <item x="209"/>
        <item x="184"/>
        <item x="277"/>
        <item x="94"/>
        <item x="244"/>
        <item x="123"/>
        <item x="255"/>
        <item x="183"/>
        <item x="21"/>
        <item x="155"/>
        <item x="236"/>
        <item x="14"/>
        <item x="51"/>
        <item x="172"/>
        <item x="182"/>
        <item x="38"/>
        <item x="283"/>
        <item x="206"/>
        <item x="241"/>
        <item x="189"/>
        <item x="72"/>
        <item x="118"/>
        <item x="263"/>
        <item x="93"/>
        <item x="225"/>
        <item x="166"/>
        <item x="142"/>
        <item x="100"/>
        <item x="239"/>
        <item x="207"/>
        <item x="257"/>
        <item x="169"/>
        <item x="24"/>
        <item x="201"/>
        <item x="34"/>
        <item x="46"/>
        <item x="190"/>
        <item x="221"/>
        <item x="273"/>
        <item x="54"/>
        <item x="233"/>
        <item x="17"/>
        <item x="285"/>
        <item x="227"/>
        <item x="198"/>
        <item x="250"/>
        <item x="108"/>
        <item x="20"/>
        <item x="247"/>
        <item x="33"/>
        <item x="256"/>
        <item x="208"/>
        <item x="168"/>
        <item x="157"/>
        <item x="10"/>
        <item x="152"/>
        <item x="63"/>
        <item x="138"/>
        <item x="146"/>
        <item x="36"/>
        <item x="107"/>
        <item x="91"/>
        <item x="261"/>
        <item x="15"/>
        <item x="16"/>
        <item x="145"/>
        <item x="60"/>
        <item x="180"/>
        <item x="231"/>
        <item x="274"/>
        <item x="11"/>
        <item x="203"/>
        <item x="213"/>
        <item x="40"/>
        <item x="234"/>
        <item x="90"/>
        <item x="228"/>
        <item x="202"/>
        <item x="179"/>
        <item x="98"/>
        <item x="56"/>
        <item x="154"/>
        <item x="130"/>
        <item x="131"/>
        <item x="74"/>
        <item x="267"/>
        <item x="103"/>
        <item x="65"/>
        <item x="162"/>
        <item x="147"/>
        <item x="279"/>
        <item x="188"/>
        <item x="64"/>
        <item x="235"/>
        <item x="44"/>
        <item x="280"/>
        <item x="89"/>
        <item x="110"/>
        <item x="199"/>
        <item x="9"/>
        <item x="135"/>
        <item x="35"/>
        <item x="87"/>
        <item x="53"/>
        <item x="71"/>
        <item x="19"/>
        <item x="5"/>
        <item x="224"/>
        <item x="84"/>
        <item x="223"/>
        <item x="47"/>
        <item x="125"/>
        <item x="49"/>
        <item x="181"/>
        <item x="153"/>
        <item x="80"/>
        <item x="101"/>
        <item x="116"/>
        <item x="151"/>
        <item x="112"/>
        <item x="48"/>
        <item x="104"/>
        <item x="243"/>
        <item x="117"/>
        <item x="57"/>
        <item x="124"/>
        <item x="67"/>
        <item x="232"/>
        <item x="1"/>
        <item x="137"/>
        <item x="249"/>
        <item x="193"/>
        <item x="31"/>
        <item x="133"/>
        <item x="286"/>
        <item x="8"/>
        <item x="240"/>
        <item x="215"/>
        <item x="86"/>
        <item x="6"/>
        <item x="73"/>
        <item x="262"/>
        <item x="128"/>
        <item x="212"/>
        <item x="114"/>
        <item x="2"/>
        <item x="43"/>
        <item x="113"/>
        <item x="192"/>
        <item x="99"/>
        <item x="214"/>
        <item x="70"/>
        <item x="219"/>
        <item x="238"/>
        <item x="194"/>
        <item x="156"/>
        <item x="119"/>
        <item x="187"/>
        <item x="242"/>
        <item x="252"/>
        <item x="191"/>
        <item x="129"/>
        <item x="161"/>
        <item x="62"/>
        <item x="159"/>
        <item x="52"/>
        <item x="211"/>
        <item x="82"/>
        <item x="174"/>
        <item x="102"/>
        <item x="284"/>
        <item x="254"/>
        <item x="265"/>
        <item x="246"/>
        <item x="271"/>
        <item x="260"/>
        <item x="170"/>
        <item x="85"/>
        <item x="122"/>
        <item x="30"/>
        <item x="96"/>
        <item x="121"/>
        <item x="69"/>
        <item x="200"/>
        <item x="83"/>
        <item x="185"/>
        <item x="272"/>
        <item x="269"/>
        <item x="132"/>
        <item x="148"/>
        <item x="120"/>
        <item x="50"/>
        <item x="165"/>
        <item x="196"/>
        <item x="68"/>
        <item x="26"/>
        <item x="59"/>
        <item x="195"/>
        <item x="248"/>
        <item x="160"/>
        <item x="177"/>
        <item x="18"/>
        <item x="37"/>
        <item x="268"/>
        <item x="144"/>
        <item x="275"/>
        <item x="229"/>
        <item x="251"/>
        <item x="75"/>
        <item x="105"/>
        <item x="218"/>
        <item x="175"/>
        <item x="140"/>
        <item x="143"/>
        <item x="197"/>
        <item x="111"/>
        <item x="61"/>
        <item x="141"/>
        <item x="164"/>
        <item x="97"/>
        <item x="245"/>
        <item x="0"/>
        <item x="226"/>
        <item x="4"/>
        <item x="230"/>
        <item x="150"/>
        <item x="134"/>
        <item x="13"/>
        <item x="136"/>
        <item x="25"/>
        <item x="186"/>
        <item x="216"/>
        <item x="27"/>
        <item x="258"/>
        <item x="220"/>
        <item x="12"/>
        <item x="217"/>
        <item x="205"/>
        <item x="278"/>
        <item x="266"/>
        <item x="176"/>
        <item x="282"/>
        <item x="167"/>
        <item x="173"/>
        <item x="77"/>
        <item x="79"/>
        <item x="237"/>
        <item x="115"/>
        <item x="28"/>
        <item x="92"/>
        <item x="42"/>
        <item x="58"/>
        <item x="281"/>
        <item x="29"/>
        <item x="76"/>
        <item x="88"/>
        <item x="66"/>
        <item x="39"/>
        <item x="23"/>
        <item x="95"/>
        <item x="276"/>
        <item x="78"/>
        <item x="270"/>
        <item t="default"/>
      </items>
    </pivotField>
    <pivotField dataField="1" compact="0" numFmtId="14" outline="0" showAll="0"/>
    <pivotField compact="0" outline="0" showAll="0"/>
    <pivotField dataField="1" compact="0" outline="0" showAll="0"/>
  </pivotFields>
  <rowFields count="1">
    <field x="1"/>
  </rowFields>
  <rowItems count="2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ost Recent Purchase" fld="2" subtotal="max" baseField="0" baseItem="0" numFmtId="14"/>
    <dataField name="Number of Purchases" fld="0" subtotal="count" baseField="0" baseItem="0"/>
    <dataField name="Total Order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8592A-940E-41B0-B99B-092FED90E6B9}" name="PivotTable2" cacheId="68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0"/>
        <item x="1"/>
        <item x="3"/>
        <item x="2"/>
        <item m="1"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BA52-FB25-4B62-B091-3A0E10CA0D22}">
  <dimension ref="A1:E1001"/>
  <sheetViews>
    <sheetView workbookViewId="0">
      <selection activeCell="A3" sqref="A3"/>
    </sheetView>
  </sheetViews>
  <sheetFormatPr defaultRowHeight="15"/>
  <cols>
    <col min="1" max="1" width="12.42578125" bestFit="1" customWidth="1"/>
    <col min="2" max="2" width="11.140625" bestFit="1" customWidth="1"/>
    <col min="3" max="3" width="11.140625" style="1" bestFit="1" customWidth="1"/>
    <col min="4" max="4" width="13" bestFit="1" customWidth="1"/>
    <col min="5" max="5" width="10.85546875" bestFit="1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45698.343007002317</v>
      </c>
      <c r="D2" t="s">
        <v>7</v>
      </c>
      <c r="E2">
        <v>45.41</v>
      </c>
    </row>
    <row r="3" spans="1:5">
      <c r="A3" t="s">
        <v>8</v>
      </c>
      <c r="B3" t="s">
        <v>9</v>
      </c>
      <c r="C3" s="1">
        <v>45944.343007002317</v>
      </c>
      <c r="D3" t="s">
        <v>10</v>
      </c>
      <c r="E3">
        <v>13.71</v>
      </c>
    </row>
    <row r="4" spans="1:5">
      <c r="A4" t="s">
        <v>11</v>
      </c>
      <c r="B4" t="s">
        <v>12</v>
      </c>
      <c r="C4" s="1">
        <v>45866.343007002317</v>
      </c>
      <c r="D4" t="s">
        <v>13</v>
      </c>
      <c r="E4">
        <v>11.66</v>
      </c>
    </row>
    <row r="5" spans="1:5">
      <c r="A5" t="s">
        <v>14</v>
      </c>
      <c r="B5" t="s">
        <v>15</v>
      </c>
      <c r="C5" s="1">
        <v>45702.343007002317</v>
      </c>
      <c r="D5" t="s">
        <v>16</v>
      </c>
      <c r="E5">
        <v>9.07</v>
      </c>
    </row>
    <row r="6" spans="1:5">
      <c r="A6" t="s">
        <v>17</v>
      </c>
      <c r="B6" t="s">
        <v>18</v>
      </c>
      <c r="C6" s="1">
        <v>45667.343007002317</v>
      </c>
      <c r="D6" t="s">
        <v>16</v>
      </c>
      <c r="E6">
        <v>11.16</v>
      </c>
    </row>
    <row r="7" spans="1:5">
      <c r="A7" t="s">
        <v>19</v>
      </c>
      <c r="B7" t="s">
        <v>20</v>
      </c>
      <c r="C7" s="1">
        <v>45784.343007002317</v>
      </c>
      <c r="D7" t="s">
        <v>10</v>
      </c>
      <c r="E7">
        <v>15.44</v>
      </c>
    </row>
    <row r="8" spans="1:5">
      <c r="A8" t="s">
        <v>21</v>
      </c>
      <c r="B8" t="s">
        <v>22</v>
      </c>
      <c r="C8" s="1">
        <v>45616.343007002317</v>
      </c>
      <c r="D8" t="s">
        <v>13</v>
      </c>
      <c r="E8">
        <v>12.76</v>
      </c>
    </row>
    <row r="9" spans="1:5">
      <c r="A9" t="s">
        <v>23</v>
      </c>
      <c r="B9" t="s">
        <v>24</v>
      </c>
      <c r="C9" s="1">
        <v>45698.343007002317</v>
      </c>
      <c r="D9" t="s">
        <v>10</v>
      </c>
      <c r="E9">
        <v>13.51</v>
      </c>
    </row>
    <row r="10" spans="1:5">
      <c r="A10" t="s">
        <v>25</v>
      </c>
      <c r="B10" t="s">
        <v>26</v>
      </c>
      <c r="C10" s="1">
        <v>45717.343007002317</v>
      </c>
      <c r="D10" t="s">
        <v>7</v>
      </c>
      <c r="E10">
        <v>35.520000000000003</v>
      </c>
    </row>
    <row r="11" spans="1:5">
      <c r="A11" t="s">
        <v>27</v>
      </c>
      <c r="B11" t="s">
        <v>28</v>
      </c>
      <c r="C11" s="1">
        <v>45810.343007002317</v>
      </c>
      <c r="D11" t="s">
        <v>29</v>
      </c>
      <c r="E11">
        <v>24.88</v>
      </c>
    </row>
    <row r="12" spans="1:5">
      <c r="A12" t="s">
        <v>30</v>
      </c>
      <c r="B12" t="s">
        <v>31</v>
      </c>
      <c r="C12" s="1">
        <v>45926.343007002317</v>
      </c>
      <c r="D12" t="s">
        <v>16</v>
      </c>
      <c r="E12">
        <v>10.95</v>
      </c>
    </row>
    <row r="13" spans="1:5">
      <c r="A13" t="s">
        <v>32</v>
      </c>
      <c r="B13" t="s">
        <v>33</v>
      </c>
      <c r="C13" s="1">
        <v>45683.343007002317</v>
      </c>
      <c r="D13" t="s">
        <v>7</v>
      </c>
      <c r="E13">
        <v>40.4</v>
      </c>
    </row>
    <row r="14" spans="1:5">
      <c r="A14" t="s">
        <v>34</v>
      </c>
      <c r="B14" t="s">
        <v>35</v>
      </c>
      <c r="C14" s="1">
        <v>45695.343007002317</v>
      </c>
      <c r="D14" t="s">
        <v>29</v>
      </c>
      <c r="E14">
        <v>20.329999999999998</v>
      </c>
    </row>
    <row r="15" spans="1:5">
      <c r="A15" t="s">
        <v>36</v>
      </c>
      <c r="B15" t="s">
        <v>37</v>
      </c>
      <c r="C15" s="1">
        <v>45955.343007002317</v>
      </c>
      <c r="D15" t="s">
        <v>7</v>
      </c>
      <c r="E15">
        <v>45.9</v>
      </c>
    </row>
    <row r="16" spans="1:5">
      <c r="A16" t="s">
        <v>38</v>
      </c>
      <c r="B16" t="s">
        <v>39</v>
      </c>
      <c r="C16" s="1">
        <v>45747.343007002317</v>
      </c>
      <c r="D16" t="s">
        <v>13</v>
      </c>
      <c r="E16">
        <v>9.91</v>
      </c>
    </row>
    <row r="17" spans="1:5">
      <c r="A17" t="s">
        <v>40</v>
      </c>
      <c r="B17" t="s">
        <v>41</v>
      </c>
      <c r="C17" s="1">
        <v>45726.343007002317</v>
      </c>
      <c r="D17" t="s">
        <v>16</v>
      </c>
      <c r="E17">
        <v>11.82</v>
      </c>
    </row>
    <row r="18" spans="1:5">
      <c r="A18" t="s">
        <v>42</v>
      </c>
      <c r="B18" t="s">
        <v>43</v>
      </c>
      <c r="C18" s="1">
        <v>45745.343007002317</v>
      </c>
      <c r="D18" t="s">
        <v>10</v>
      </c>
      <c r="E18">
        <v>12.15</v>
      </c>
    </row>
    <row r="19" spans="1:5">
      <c r="A19" t="s">
        <v>44</v>
      </c>
      <c r="B19" t="s">
        <v>45</v>
      </c>
      <c r="C19" s="1">
        <v>45904.343007002317</v>
      </c>
      <c r="D19" t="s">
        <v>10</v>
      </c>
      <c r="E19">
        <v>16.170000000000002</v>
      </c>
    </row>
    <row r="20" spans="1:5">
      <c r="A20" t="s">
        <v>46</v>
      </c>
      <c r="B20" t="s">
        <v>47</v>
      </c>
      <c r="C20" s="1">
        <v>45853.343007002317</v>
      </c>
      <c r="D20" t="s">
        <v>29</v>
      </c>
      <c r="E20">
        <v>20.82</v>
      </c>
    </row>
    <row r="21" spans="1:5">
      <c r="A21" t="s">
        <v>48</v>
      </c>
      <c r="B21" t="s">
        <v>49</v>
      </c>
      <c r="C21" s="1">
        <v>45939.343007002317</v>
      </c>
      <c r="D21" t="s">
        <v>50</v>
      </c>
      <c r="E21">
        <v>5.82</v>
      </c>
    </row>
    <row r="22" spans="1:5">
      <c r="A22" t="s">
        <v>51</v>
      </c>
      <c r="B22" t="s">
        <v>52</v>
      </c>
      <c r="C22" s="1">
        <v>45889.343007002317</v>
      </c>
      <c r="D22" t="s">
        <v>13</v>
      </c>
      <c r="E22">
        <v>11.83</v>
      </c>
    </row>
    <row r="23" spans="1:5">
      <c r="A23" t="s">
        <v>53</v>
      </c>
      <c r="B23" t="s">
        <v>54</v>
      </c>
      <c r="C23" s="1">
        <v>45787.343007002317</v>
      </c>
      <c r="D23" t="s">
        <v>29</v>
      </c>
      <c r="E23">
        <v>21.38</v>
      </c>
    </row>
    <row r="24" spans="1:5">
      <c r="A24" t="s">
        <v>55</v>
      </c>
      <c r="B24" t="s">
        <v>56</v>
      </c>
      <c r="C24" s="1">
        <v>45872.343007002317</v>
      </c>
      <c r="D24" t="s">
        <v>50</v>
      </c>
      <c r="E24">
        <v>4.68</v>
      </c>
    </row>
    <row r="25" spans="1:5">
      <c r="A25" t="s">
        <v>57</v>
      </c>
      <c r="B25" t="s">
        <v>58</v>
      </c>
      <c r="C25" s="1">
        <v>45756.343007002317</v>
      </c>
      <c r="D25" t="s">
        <v>7</v>
      </c>
      <c r="E25">
        <v>34.64</v>
      </c>
    </row>
    <row r="26" spans="1:5">
      <c r="A26" t="s">
        <v>59</v>
      </c>
      <c r="B26" t="s">
        <v>60</v>
      </c>
      <c r="C26" s="1">
        <v>45909.343007002317</v>
      </c>
      <c r="D26" t="s">
        <v>13</v>
      </c>
      <c r="E26">
        <v>10.42</v>
      </c>
    </row>
    <row r="27" spans="1:5">
      <c r="A27" t="s">
        <v>61</v>
      </c>
      <c r="B27" t="s">
        <v>62</v>
      </c>
      <c r="C27" s="1">
        <v>45617.343007002317</v>
      </c>
      <c r="D27" t="s">
        <v>7</v>
      </c>
      <c r="E27">
        <v>47.17</v>
      </c>
    </row>
    <row r="28" spans="1:5">
      <c r="A28" t="s">
        <v>63</v>
      </c>
      <c r="B28" t="s">
        <v>64</v>
      </c>
      <c r="C28" s="1">
        <v>45848.343007002317</v>
      </c>
      <c r="D28" t="s">
        <v>16</v>
      </c>
      <c r="E28">
        <v>9.7799999999999994</v>
      </c>
    </row>
    <row r="29" spans="1:5">
      <c r="A29" t="s">
        <v>65</v>
      </c>
      <c r="B29" t="s">
        <v>66</v>
      </c>
      <c r="C29" s="1">
        <v>45831.343007002317</v>
      </c>
      <c r="D29" t="s">
        <v>13</v>
      </c>
      <c r="E29">
        <v>13.39</v>
      </c>
    </row>
    <row r="30" spans="1:5">
      <c r="A30" t="s">
        <v>67</v>
      </c>
      <c r="B30" t="s">
        <v>68</v>
      </c>
      <c r="C30" s="1">
        <v>45940.343007002317</v>
      </c>
      <c r="D30" t="s">
        <v>50</v>
      </c>
      <c r="E30">
        <v>5.28</v>
      </c>
    </row>
    <row r="31" spans="1:5">
      <c r="A31" t="s">
        <v>69</v>
      </c>
      <c r="B31" t="s">
        <v>70</v>
      </c>
      <c r="C31" s="1">
        <v>45644.343007002317</v>
      </c>
      <c r="D31" t="s">
        <v>16</v>
      </c>
      <c r="E31">
        <v>10.71</v>
      </c>
    </row>
    <row r="32" spans="1:5">
      <c r="A32" t="s">
        <v>71</v>
      </c>
      <c r="B32" t="s">
        <v>72</v>
      </c>
      <c r="C32" s="1">
        <v>45654.343007002317</v>
      </c>
      <c r="D32" t="s">
        <v>10</v>
      </c>
      <c r="E32">
        <v>12.79</v>
      </c>
    </row>
    <row r="33" spans="1:5">
      <c r="A33" t="s">
        <v>73</v>
      </c>
      <c r="B33" t="s">
        <v>74</v>
      </c>
      <c r="C33" s="1">
        <v>45765.343007002317</v>
      </c>
      <c r="D33" t="s">
        <v>50</v>
      </c>
      <c r="E33">
        <v>4.47</v>
      </c>
    </row>
    <row r="34" spans="1:5">
      <c r="A34" t="s">
        <v>75</v>
      </c>
      <c r="B34" t="s">
        <v>76</v>
      </c>
      <c r="C34" s="1">
        <v>45783.343007002317</v>
      </c>
      <c r="D34" t="s">
        <v>29</v>
      </c>
      <c r="E34">
        <v>27.87</v>
      </c>
    </row>
    <row r="35" spans="1:5">
      <c r="A35" t="s">
        <v>77</v>
      </c>
      <c r="B35" t="s">
        <v>78</v>
      </c>
      <c r="C35" s="1">
        <v>45866.343007002317</v>
      </c>
      <c r="D35" t="s">
        <v>10</v>
      </c>
      <c r="E35">
        <v>17.82</v>
      </c>
    </row>
    <row r="36" spans="1:5">
      <c r="A36" t="s">
        <v>79</v>
      </c>
      <c r="B36" t="s">
        <v>80</v>
      </c>
      <c r="C36" s="1">
        <v>45785.343007002317</v>
      </c>
      <c r="D36" t="s">
        <v>10</v>
      </c>
      <c r="E36">
        <v>13.58</v>
      </c>
    </row>
    <row r="37" spans="1:5">
      <c r="A37" t="s">
        <v>81</v>
      </c>
      <c r="B37" t="s">
        <v>82</v>
      </c>
      <c r="C37" s="1">
        <v>45770.343007002317</v>
      </c>
      <c r="D37" t="s">
        <v>29</v>
      </c>
      <c r="E37">
        <v>22.72</v>
      </c>
    </row>
    <row r="38" spans="1:5">
      <c r="A38" t="s">
        <v>83</v>
      </c>
      <c r="B38" t="s">
        <v>84</v>
      </c>
      <c r="C38" s="1">
        <v>45646.343007002317</v>
      </c>
      <c r="D38" t="s">
        <v>13</v>
      </c>
      <c r="E38">
        <v>11.87</v>
      </c>
    </row>
    <row r="39" spans="1:5">
      <c r="A39" t="s">
        <v>85</v>
      </c>
      <c r="B39" t="s">
        <v>86</v>
      </c>
      <c r="C39" s="1">
        <v>45959.343007002317</v>
      </c>
      <c r="D39" t="s">
        <v>10</v>
      </c>
      <c r="E39">
        <v>17.899999999999999</v>
      </c>
    </row>
    <row r="40" spans="1:5">
      <c r="A40" t="s">
        <v>87</v>
      </c>
      <c r="B40" t="s">
        <v>88</v>
      </c>
      <c r="C40" s="1">
        <v>45650.343007002317</v>
      </c>
      <c r="D40" t="s">
        <v>50</v>
      </c>
      <c r="E40">
        <v>4.54</v>
      </c>
    </row>
    <row r="41" spans="1:5">
      <c r="A41" t="s">
        <v>89</v>
      </c>
      <c r="B41" t="s">
        <v>84</v>
      </c>
      <c r="C41" s="1">
        <v>45839.343007002317</v>
      </c>
      <c r="D41" t="s">
        <v>16</v>
      </c>
      <c r="E41">
        <v>9.6300000000000008</v>
      </c>
    </row>
    <row r="42" spans="1:5">
      <c r="A42" t="s">
        <v>90</v>
      </c>
      <c r="B42" t="s">
        <v>58</v>
      </c>
      <c r="C42" s="1">
        <v>45915.343007002317</v>
      </c>
      <c r="D42" t="s">
        <v>10</v>
      </c>
      <c r="E42">
        <v>17.350000000000001</v>
      </c>
    </row>
    <row r="43" spans="1:5">
      <c r="A43" t="s">
        <v>91</v>
      </c>
      <c r="B43" t="s">
        <v>92</v>
      </c>
      <c r="C43" s="1">
        <v>45726.343007002317</v>
      </c>
      <c r="D43" t="s">
        <v>50</v>
      </c>
      <c r="E43">
        <v>4.01</v>
      </c>
    </row>
    <row r="44" spans="1:5">
      <c r="A44" t="s">
        <v>93</v>
      </c>
      <c r="B44" t="s">
        <v>94</v>
      </c>
      <c r="C44" s="1">
        <v>45902.343007002317</v>
      </c>
      <c r="D44" t="s">
        <v>7</v>
      </c>
      <c r="E44">
        <v>32.64</v>
      </c>
    </row>
    <row r="45" spans="1:5">
      <c r="A45" t="s">
        <v>95</v>
      </c>
      <c r="B45" t="s">
        <v>96</v>
      </c>
      <c r="C45" s="1">
        <v>45730.343007002317</v>
      </c>
      <c r="D45" t="s">
        <v>50</v>
      </c>
      <c r="E45">
        <v>5.21</v>
      </c>
    </row>
    <row r="46" spans="1:5">
      <c r="A46" t="s">
        <v>97</v>
      </c>
      <c r="B46" t="s">
        <v>98</v>
      </c>
      <c r="C46" s="1">
        <v>45616.343007002317</v>
      </c>
      <c r="D46" t="s">
        <v>16</v>
      </c>
      <c r="E46">
        <v>11.63</v>
      </c>
    </row>
    <row r="47" spans="1:5">
      <c r="A47" t="s">
        <v>99</v>
      </c>
      <c r="B47" t="s">
        <v>100</v>
      </c>
      <c r="C47" s="1">
        <v>45924.343007002317</v>
      </c>
      <c r="D47" t="s">
        <v>50</v>
      </c>
      <c r="E47">
        <v>4.4800000000000004</v>
      </c>
    </row>
    <row r="48" spans="1:5">
      <c r="A48" t="s">
        <v>101</v>
      </c>
      <c r="B48" t="s">
        <v>102</v>
      </c>
      <c r="C48" s="1">
        <v>45762.343007002317</v>
      </c>
      <c r="D48" t="s">
        <v>29</v>
      </c>
      <c r="E48">
        <v>24.7</v>
      </c>
    </row>
    <row r="49" spans="1:5">
      <c r="A49" t="s">
        <v>103</v>
      </c>
      <c r="B49" t="s">
        <v>104</v>
      </c>
      <c r="C49" s="1">
        <v>45869.343007002317</v>
      </c>
      <c r="D49" t="s">
        <v>16</v>
      </c>
      <c r="E49">
        <v>9.8000000000000007</v>
      </c>
    </row>
    <row r="50" spans="1:5">
      <c r="A50" t="s">
        <v>105</v>
      </c>
      <c r="B50" t="s">
        <v>106</v>
      </c>
      <c r="C50" s="1">
        <v>45684.343007002317</v>
      </c>
      <c r="D50" t="s">
        <v>13</v>
      </c>
      <c r="E50">
        <v>11.87</v>
      </c>
    </row>
    <row r="51" spans="1:5">
      <c r="A51" t="s">
        <v>107</v>
      </c>
      <c r="B51" t="s">
        <v>108</v>
      </c>
      <c r="C51" s="1">
        <v>45911.343007002317</v>
      </c>
      <c r="D51" t="s">
        <v>7</v>
      </c>
      <c r="E51">
        <v>41.96</v>
      </c>
    </row>
    <row r="52" spans="1:5">
      <c r="A52" t="s">
        <v>109</v>
      </c>
      <c r="B52" t="s">
        <v>110</v>
      </c>
      <c r="C52" s="1">
        <v>45609.343007002317</v>
      </c>
      <c r="D52" t="s">
        <v>29</v>
      </c>
      <c r="E52">
        <v>24.7</v>
      </c>
    </row>
    <row r="53" spans="1:5">
      <c r="A53" t="s">
        <v>111</v>
      </c>
      <c r="B53" t="s">
        <v>112</v>
      </c>
      <c r="C53" s="1">
        <v>45837.343007002317</v>
      </c>
      <c r="D53" t="s">
        <v>13</v>
      </c>
      <c r="E53">
        <v>11.75</v>
      </c>
    </row>
    <row r="54" spans="1:5">
      <c r="A54" t="s">
        <v>113</v>
      </c>
      <c r="B54" t="s">
        <v>114</v>
      </c>
      <c r="C54" s="1">
        <v>45860.343007002317</v>
      </c>
      <c r="D54" t="s">
        <v>50</v>
      </c>
      <c r="E54">
        <v>4.95</v>
      </c>
    </row>
    <row r="55" spans="1:5">
      <c r="A55" t="s">
        <v>115</v>
      </c>
      <c r="B55" t="s">
        <v>94</v>
      </c>
      <c r="C55" s="1">
        <v>45941.343007002317</v>
      </c>
      <c r="D55" t="s">
        <v>16</v>
      </c>
      <c r="E55">
        <v>10.36</v>
      </c>
    </row>
    <row r="56" spans="1:5">
      <c r="A56" t="s">
        <v>116</v>
      </c>
      <c r="B56" t="s">
        <v>94</v>
      </c>
      <c r="C56" s="1">
        <v>45648.343007002317</v>
      </c>
      <c r="D56" t="s">
        <v>7</v>
      </c>
      <c r="E56">
        <v>40.590000000000003</v>
      </c>
    </row>
    <row r="57" spans="1:5">
      <c r="A57" t="s">
        <v>117</v>
      </c>
      <c r="B57" t="s">
        <v>118</v>
      </c>
      <c r="C57" s="1">
        <v>45935.343007002317</v>
      </c>
      <c r="D57" t="s">
        <v>29</v>
      </c>
      <c r="E57">
        <v>28.54</v>
      </c>
    </row>
    <row r="58" spans="1:5">
      <c r="A58" t="s">
        <v>119</v>
      </c>
      <c r="B58" t="s">
        <v>120</v>
      </c>
      <c r="C58" s="1">
        <v>45687.343007002317</v>
      </c>
      <c r="D58" t="s">
        <v>13</v>
      </c>
      <c r="E58">
        <v>9.84</v>
      </c>
    </row>
    <row r="59" spans="1:5">
      <c r="A59" t="s">
        <v>121</v>
      </c>
      <c r="B59" t="s">
        <v>122</v>
      </c>
      <c r="C59" s="1">
        <v>45859.343007002317</v>
      </c>
      <c r="D59" t="s">
        <v>13</v>
      </c>
      <c r="E59">
        <v>13.6</v>
      </c>
    </row>
    <row r="60" spans="1:5">
      <c r="A60" t="s">
        <v>123</v>
      </c>
      <c r="B60" t="s">
        <v>124</v>
      </c>
      <c r="C60" s="1">
        <v>45630.343007002317</v>
      </c>
      <c r="D60" t="s">
        <v>7</v>
      </c>
      <c r="E60">
        <v>45.5</v>
      </c>
    </row>
    <row r="61" spans="1:5">
      <c r="A61" t="s">
        <v>125</v>
      </c>
      <c r="B61" t="s">
        <v>100</v>
      </c>
      <c r="C61" s="1">
        <v>45801.343007002317</v>
      </c>
      <c r="D61" t="s">
        <v>50</v>
      </c>
      <c r="E61">
        <v>4.57</v>
      </c>
    </row>
    <row r="62" spans="1:5">
      <c r="A62" t="s">
        <v>126</v>
      </c>
      <c r="B62" t="s">
        <v>88</v>
      </c>
      <c r="C62" s="1">
        <v>45676.343007002317</v>
      </c>
      <c r="D62" t="s">
        <v>7</v>
      </c>
      <c r="E62">
        <v>39.409999999999997</v>
      </c>
    </row>
    <row r="63" spans="1:5">
      <c r="A63" t="s">
        <v>127</v>
      </c>
      <c r="B63" t="s">
        <v>128</v>
      </c>
      <c r="C63" s="1">
        <v>45645.343007002317</v>
      </c>
      <c r="D63" t="s">
        <v>13</v>
      </c>
      <c r="E63">
        <v>11.7</v>
      </c>
    </row>
    <row r="64" spans="1:5">
      <c r="A64" t="s">
        <v>129</v>
      </c>
      <c r="B64" t="s">
        <v>130</v>
      </c>
      <c r="C64" s="1">
        <v>45955.343007002317</v>
      </c>
      <c r="D64" t="s">
        <v>10</v>
      </c>
      <c r="E64">
        <v>13.31</v>
      </c>
    </row>
    <row r="65" spans="1:5">
      <c r="A65" t="s">
        <v>131</v>
      </c>
      <c r="B65" t="s">
        <v>132</v>
      </c>
      <c r="C65" s="1">
        <v>45597.343007002317</v>
      </c>
      <c r="D65" t="s">
        <v>29</v>
      </c>
      <c r="E65">
        <v>23.97</v>
      </c>
    </row>
    <row r="66" spans="1:5">
      <c r="A66" t="s">
        <v>133</v>
      </c>
      <c r="B66" t="s">
        <v>134</v>
      </c>
      <c r="C66" s="1">
        <v>45649.343007002317</v>
      </c>
      <c r="D66" t="s">
        <v>7</v>
      </c>
      <c r="E66">
        <v>32.71</v>
      </c>
    </row>
    <row r="67" spans="1:5">
      <c r="A67" t="s">
        <v>135</v>
      </c>
      <c r="B67" t="s">
        <v>136</v>
      </c>
      <c r="C67" s="1">
        <v>45701.343007002317</v>
      </c>
      <c r="D67" t="s">
        <v>13</v>
      </c>
      <c r="E67">
        <v>10.93</v>
      </c>
    </row>
    <row r="68" spans="1:5">
      <c r="A68" t="s">
        <v>137</v>
      </c>
      <c r="B68" t="s">
        <v>132</v>
      </c>
      <c r="C68" s="1">
        <v>45855.343007002317</v>
      </c>
      <c r="D68" t="s">
        <v>50</v>
      </c>
      <c r="E68">
        <v>5.63</v>
      </c>
    </row>
    <row r="69" spans="1:5">
      <c r="A69" t="s">
        <v>138</v>
      </c>
      <c r="B69" t="s">
        <v>39</v>
      </c>
      <c r="C69" s="1">
        <v>45905.343007002317</v>
      </c>
      <c r="D69" t="s">
        <v>13</v>
      </c>
      <c r="E69">
        <v>10.97</v>
      </c>
    </row>
    <row r="70" spans="1:5">
      <c r="A70" t="s">
        <v>139</v>
      </c>
      <c r="B70" t="s">
        <v>140</v>
      </c>
      <c r="C70" s="1">
        <v>45786.343007002317</v>
      </c>
      <c r="D70" t="s">
        <v>50</v>
      </c>
      <c r="E70">
        <v>5.64</v>
      </c>
    </row>
    <row r="71" spans="1:5">
      <c r="A71" t="s">
        <v>141</v>
      </c>
      <c r="B71" t="s">
        <v>134</v>
      </c>
      <c r="C71" s="1">
        <v>45813.343007002317</v>
      </c>
      <c r="D71" t="s">
        <v>7</v>
      </c>
      <c r="E71">
        <v>40.51</v>
      </c>
    </row>
    <row r="72" spans="1:5">
      <c r="A72" t="s">
        <v>142</v>
      </c>
      <c r="B72" t="s">
        <v>143</v>
      </c>
      <c r="C72" s="1">
        <v>45639.343007002317</v>
      </c>
      <c r="D72" t="s">
        <v>50</v>
      </c>
      <c r="E72">
        <v>5.76</v>
      </c>
    </row>
    <row r="73" spans="1:5">
      <c r="A73" t="s">
        <v>144</v>
      </c>
      <c r="B73" t="s">
        <v>145</v>
      </c>
      <c r="C73" s="1">
        <v>45757.343007002317</v>
      </c>
      <c r="D73" t="s">
        <v>16</v>
      </c>
      <c r="E73">
        <v>10.3</v>
      </c>
    </row>
    <row r="74" spans="1:5">
      <c r="A74" t="s">
        <v>146</v>
      </c>
      <c r="B74" t="s">
        <v>147</v>
      </c>
      <c r="C74" s="1">
        <v>45797.343007002317</v>
      </c>
      <c r="D74" t="s">
        <v>16</v>
      </c>
      <c r="E74">
        <v>8.1199999999999992</v>
      </c>
    </row>
    <row r="75" spans="1:5">
      <c r="A75" t="s">
        <v>148</v>
      </c>
      <c r="B75" t="s">
        <v>15</v>
      </c>
      <c r="C75" s="1">
        <v>45865.343007002317</v>
      </c>
      <c r="D75" t="s">
        <v>16</v>
      </c>
      <c r="E75">
        <v>10.7</v>
      </c>
    </row>
    <row r="76" spans="1:5">
      <c r="A76" t="s">
        <v>149</v>
      </c>
      <c r="B76" t="s">
        <v>76</v>
      </c>
      <c r="C76" s="1">
        <v>45946.343007002317</v>
      </c>
      <c r="D76" t="s">
        <v>10</v>
      </c>
      <c r="E76">
        <v>12.27</v>
      </c>
    </row>
    <row r="77" spans="1:5">
      <c r="A77" t="s">
        <v>150</v>
      </c>
      <c r="B77" t="s">
        <v>151</v>
      </c>
      <c r="C77" s="1">
        <v>45899.343007002317</v>
      </c>
      <c r="D77" t="s">
        <v>7</v>
      </c>
      <c r="E77">
        <v>39.21</v>
      </c>
    </row>
    <row r="78" spans="1:5">
      <c r="A78" t="s">
        <v>152</v>
      </c>
      <c r="B78" t="s">
        <v>153</v>
      </c>
      <c r="C78" s="1">
        <v>45866.343007002317</v>
      </c>
      <c r="D78" t="s">
        <v>13</v>
      </c>
      <c r="E78">
        <v>14.06</v>
      </c>
    </row>
    <row r="79" spans="1:5">
      <c r="A79" t="s">
        <v>154</v>
      </c>
      <c r="B79" t="s">
        <v>155</v>
      </c>
      <c r="C79" s="1">
        <v>45810.343007002317</v>
      </c>
      <c r="D79" t="s">
        <v>13</v>
      </c>
      <c r="E79">
        <v>10.39</v>
      </c>
    </row>
    <row r="80" spans="1:5">
      <c r="A80" t="s">
        <v>156</v>
      </c>
      <c r="B80" t="s">
        <v>157</v>
      </c>
      <c r="C80" s="1">
        <v>45847.343007002317</v>
      </c>
      <c r="D80" t="s">
        <v>10</v>
      </c>
      <c r="E80">
        <v>14.34</v>
      </c>
    </row>
    <row r="81" spans="1:5">
      <c r="A81" t="s">
        <v>158</v>
      </c>
      <c r="B81" t="s">
        <v>159</v>
      </c>
      <c r="C81" s="1">
        <v>45785.343007002317</v>
      </c>
      <c r="D81" t="s">
        <v>50</v>
      </c>
      <c r="E81">
        <v>5.46</v>
      </c>
    </row>
    <row r="82" spans="1:5">
      <c r="A82" t="s">
        <v>160</v>
      </c>
      <c r="B82" t="s">
        <v>161</v>
      </c>
      <c r="C82" s="1">
        <v>45891.343007002317</v>
      </c>
      <c r="D82" t="s">
        <v>10</v>
      </c>
      <c r="E82">
        <v>17.29</v>
      </c>
    </row>
    <row r="83" spans="1:5">
      <c r="A83" t="s">
        <v>162</v>
      </c>
      <c r="B83" t="s">
        <v>163</v>
      </c>
      <c r="C83" s="1">
        <v>45808.343007002317</v>
      </c>
      <c r="D83" t="s">
        <v>50</v>
      </c>
      <c r="E83">
        <v>5.34</v>
      </c>
    </row>
    <row r="84" spans="1:5">
      <c r="A84" t="s">
        <v>164</v>
      </c>
      <c r="B84" t="s">
        <v>128</v>
      </c>
      <c r="C84" s="1">
        <v>45803.343007002317</v>
      </c>
      <c r="D84" t="s">
        <v>50</v>
      </c>
      <c r="E84">
        <v>4.5199999999999996</v>
      </c>
    </row>
    <row r="85" spans="1:5">
      <c r="A85" t="s">
        <v>165</v>
      </c>
      <c r="B85" t="s">
        <v>132</v>
      </c>
      <c r="C85" s="1">
        <v>45832.343007002317</v>
      </c>
      <c r="D85" t="s">
        <v>29</v>
      </c>
      <c r="E85">
        <v>26.75</v>
      </c>
    </row>
    <row r="86" spans="1:5">
      <c r="A86" t="s">
        <v>166</v>
      </c>
      <c r="B86" t="s">
        <v>167</v>
      </c>
      <c r="C86" s="1">
        <v>45933.343007002317</v>
      </c>
      <c r="D86" t="s">
        <v>13</v>
      </c>
      <c r="E86">
        <v>11.02</v>
      </c>
    </row>
    <row r="87" spans="1:5">
      <c r="A87" t="s">
        <v>168</v>
      </c>
      <c r="B87" t="s">
        <v>18</v>
      </c>
      <c r="C87" s="1">
        <v>45648.343007002317</v>
      </c>
      <c r="D87" t="s">
        <v>16</v>
      </c>
      <c r="E87">
        <v>10.87</v>
      </c>
    </row>
    <row r="88" spans="1:5">
      <c r="A88" t="s">
        <v>169</v>
      </c>
      <c r="B88" t="s">
        <v>132</v>
      </c>
      <c r="C88" s="1">
        <v>45875.343007002317</v>
      </c>
      <c r="D88" t="s">
        <v>50</v>
      </c>
      <c r="E88">
        <v>5.91</v>
      </c>
    </row>
    <row r="89" spans="1:5">
      <c r="A89" t="s">
        <v>170</v>
      </c>
      <c r="B89" t="s">
        <v>171</v>
      </c>
      <c r="C89" s="1">
        <v>45812.343007002317</v>
      </c>
      <c r="D89" t="s">
        <v>29</v>
      </c>
      <c r="E89">
        <v>27.21</v>
      </c>
    </row>
    <row r="90" spans="1:5">
      <c r="A90" t="s">
        <v>172</v>
      </c>
      <c r="B90" t="s">
        <v>173</v>
      </c>
      <c r="C90" s="1">
        <v>45847.343007002317</v>
      </c>
      <c r="D90" t="s">
        <v>13</v>
      </c>
      <c r="E90">
        <v>13.74</v>
      </c>
    </row>
    <row r="91" spans="1:5">
      <c r="A91" t="s">
        <v>174</v>
      </c>
      <c r="B91" t="s">
        <v>28</v>
      </c>
      <c r="C91" s="1">
        <v>45783.343007002317</v>
      </c>
      <c r="D91" t="s">
        <v>16</v>
      </c>
      <c r="E91">
        <v>8.01</v>
      </c>
    </row>
    <row r="92" spans="1:5">
      <c r="A92" t="s">
        <v>175</v>
      </c>
      <c r="B92" t="s">
        <v>43</v>
      </c>
      <c r="C92" s="1">
        <v>45636.343007002317</v>
      </c>
      <c r="D92" t="s">
        <v>50</v>
      </c>
      <c r="E92">
        <v>5.44</v>
      </c>
    </row>
    <row r="93" spans="1:5">
      <c r="A93" t="s">
        <v>176</v>
      </c>
      <c r="B93" t="s">
        <v>177</v>
      </c>
      <c r="C93" s="1">
        <v>45752.343007002317</v>
      </c>
      <c r="D93" t="s">
        <v>50</v>
      </c>
      <c r="E93">
        <v>5.66</v>
      </c>
    </row>
    <row r="94" spans="1:5">
      <c r="A94" t="s">
        <v>178</v>
      </c>
      <c r="B94" t="s">
        <v>179</v>
      </c>
      <c r="C94" s="1">
        <v>45610.343007002317</v>
      </c>
      <c r="D94" t="s">
        <v>10</v>
      </c>
      <c r="E94">
        <v>12.24</v>
      </c>
    </row>
    <row r="95" spans="1:5">
      <c r="A95" t="s">
        <v>180</v>
      </c>
      <c r="B95" t="s">
        <v>181</v>
      </c>
      <c r="C95" s="1">
        <v>45896.343007002317</v>
      </c>
      <c r="D95" t="s">
        <v>10</v>
      </c>
      <c r="E95">
        <v>17.23</v>
      </c>
    </row>
    <row r="96" spans="1:5">
      <c r="A96" t="s">
        <v>182</v>
      </c>
      <c r="B96" t="s">
        <v>183</v>
      </c>
      <c r="C96" s="1">
        <v>45660.343007002317</v>
      </c>
      <c r="D96" t="s">
        <v>13</v>
      </c>
      <c r="E96">
        <v>10.83</v>
      </c>
    </row>
    <row r="97" spans="1:5">
      <c r="A97" t="s">
        <v>184</v>
      </c>
      <c r="B97" t="s">
        <v>185</v>
      </c>
      <c r="C97" s="1">
        <v>45940.343007002317</v>
      </c>
      <c r="D97" t="s">
        <v>16</v>
      </c>
      <c r="E97">
        <v>10.66</v>
      </c>
    </row>
    <row r="98" spans="1:5">
      <c r="A98" t="s">
        <v>186</v>
      </c>
      <c r="B98" t="s">
        <v>187</v>
      </c>
      <c r="C98" s="1">
        <v>45922.343007002317</v>
      </c>
      <c r="D98" t="s">
        <v>50</v>
      </c>
      <c r="E98">
        <v>5.6</v>
      </c>
    </row>
    <row r="99" spans="1:5">
      <c r="A99" t="s">
        <v>188</v>
      </c>
      <c r="B99" t="s">
        <v>45</v>
      </c>
      <c r="C99" s="1">
        <v>45604.343007002317</v>
      </c>
      <c r="D99" t="s">
        <v>13</v>
      </c>
      <c r="E99">
        <v>12.78</v>
      </c>
    </row>
    <row r="100" spans="1:5">
      <c r="A100" t="s">
        <v>189</v>
      </c>
      <c r="B100" t="s">
        <v>190</v>
      </c>
      <c r="C100" s="1">
        <v>45939.343007002317</v>
      </c>
      <c r="D100" t="s">
        <v>13</v>
      </c>
      <c r="E100">
        <v>10.039999999999999</v>
      </c>
    </row>
    <row r="101" spans="1:5">
      <c r="A101" t="s">
        <v>191</v>
      </c>
      <c r="B101" t="s">
        <v>192</v>
      </c>
      <c r="C101" s="1">
        <v>45724.343007002317</v>
      </c>
      <c r="D101" t="s">
        <v>7</v>
      </c>
      <c r="E101">
        <v>41.54</v>
      </c>
    </row>
    <row r="102" spans="1:5">
      <c r="A102" t="s">
        <v>193</v>
      </c>
      <c r="B102" t="s">
        <v>143</v>
      </c>
      <c r="C102" s="1">
        <v>45731.343007002317</v>
      </c>
      <c r="D102" t="s">
        <v>10</v>
      </c>
      <c r="E102">
        <v>15.3</v>
      </c>
    </row>
    <row r="103" spans="1:5">
      <c r="A103" t="s">
        <v>194</v>
      </c>
      <c r="B103" t="s">
        <v>39</v>
      </c>
      <c r="C103" s="1">
        <v>45658.343007002317</v>
      </c>
      <c r="D103" t="s">
        <v>16</v>
      </c>
      <c r="E103">
        <v>11.6</v>
      </c>
    </row>
    <row r="104" spans="1:5">
      <c r="A104" t="s">
        <v>195</v>
      </c>
      <c r="B104" t="s">
        <v>122</v>
      </c>
      <c r="C104" s="1">
        <v>45734.343007002317</v>
      </c>
      <c r="D104" t="s">
        <v>50</v>
      </c>
      <c r="E104">
        <v>4.8099999999999996</v>
      </c>
    </row>
    <row r="105" spans="1:5">
      <c r="A105" t="s">
        <v>196</v>
      </c>
      <c r="B105" t="s">
        <v>197</v>
      </c>
      <c r="C105" s="1">
        <v>45676.343007002317</v>
      </c>
      <c r="D105" t="s">
        <v>13</v>
      </c>
      <c r="E105">
        <v>11.14</v>
      </c>
    </row>
    <row r="106" spans="1:5">
      <c r="A106" t="s">
        <v>198</v>
      </c>
      <c r="B106" t="s">
        <v>104</v>
      </c>
      <c r="C106" s="1">
        <v>45758.343007002317</v>
      </c>
      <c r="D106" t="s">
        <v>50</v>
      </c>
      <c r="E106">
        <v>5.5</v>
      </c>
    </row>
    <row r="107" spans="1:5">
      <c r="A107" t="s">
        <v>199</v>
      </c>
      <c r="B107" t="s">
        <v>200</v>
      </c>
      <c r="C107" s="1">
        <v>45884.343007002317</v>
      </c>
      <c r="D107" t="s">
        <v>7</v>
      </c>
      <c r="E107">
        <v>38.6</v>
      </c>
    </row>
    <row r="108" spans="1:5">
      <c r="A108" t="s">
        <v>201</v>
      </c>
      <c r="B108" t="s">
        <v>202</v>
      </c>
      <c r="C108" s="1">
        <v>45856.343007002317</v>
      </c>
      <c r="D108" t="s">
        <v>16</v>
      </c>
      <c r="E108">
        <v>10.58</v>
      </c>
    </row>
    <row r="109" spans="1:5">
      <c r="A109" t="s">
        <v>203</v>
      </c>
      <c r="B109" t="s">
        <v>94</v>
      </c>
      <c r="C109" s="1">
        <v>45826.343007002317</v>
      </c>
      <c r="D109" t="s">
        <v>13</v>
      </c>
      <c r="E109">
        <v>12.7</v>
      </c>
    </row>
    <row r="110" spans="1:5">
      <c r="A110" t="s">
        <v>204</v>
      </c>
      <c r="B110" t="s">
        <v>205</v>
      </c>
      <c r="C110" s="1">
        <v>45636.343007002317</v>
      </c>
      <c r="D110" t="s">
        <v>50</v>
      </c>
      <c r="E110">
        <v>5.78</v>
      </c>
    </row>
    <row r="111" spans="1:5">
      <c r="A111" t="s">
        <v>206</v>
      </c>
      <c r="B111" t="s">
        <v>130</v>
      </c>
      <c r="C111" s="1">
        <v>45623.343007002317</v>
      </c>
      <c r="D111" t="s">
        <v>10</v>
      </c>
      <c r="E111">
        <v>15.59</v>
      </c>
    </row>
    <row r="112" spans="1:5">
      <c r="A112" t="s">
        <v>207</v>
      </c>
      <c r="B112" t="s">
        <v>94</v>
      </c>
      <c r="C112" s="1">
        <v>45730.343007002317</v>
      </c>
      <c r="D112" t="s">
        <v>7</v>
      </c>
      <c r="E112">
        <v>40.03</v>
      </c>
    </row>
    <row r="113" spans="1:5">
      <c r="A113" t="s">
        <v>208</v>
      </c>
      <c r="B113" t="s">
        <v>209</v>
      </c>
      <c r="C113" s="1">
        <v>45796.343007002317</v>
      </c>
      <c r="D113" t="s">
        <v>16</v>
      </c>
      <c r="E113">
        <v>8.56</v>
      </c>
    </row>
    <row r="114" spans="1:5">
      <c r="A114" t="s">
        <v>210</v>
      </c>
      <c r="B114" t="s">
        <v>211</v>
      </c>
      <c r="C114" s="1">
        <v>45923.343007002317</v>
      </c>
      <c r="D114" t="s">
        <v>7</v>
      </c>
      <c r="E114">
        <v>33.85</v>
      </c>
    </row>
    <row r="115" spans="1:5">
      <c r="A115" t="s">
        <v>212</v>
      </c>
      <c r="B115" t="s">
        <v>213</v>
      </c>
      <c r="C115" s="1">
        <v>45863.343007002317</v>
      </c>
      <c r="D115" t="s">
        <v>10</v>
      </c>
      <c r="E115">
        <v>12.93</v>
      </c>
    </row>
    <row r="116" spans="1:5">
      <c r="A116" t="s">
        <v>214</v>
      </c>
      <c r="B116" t="s">
        <v>215</v>
      </c>
      <c r="C116" s="1">
        <v>45628.343007002317</v>
      </c>
      <c r="D116" t="s">
        <v>16</v>
      </c>
      <c r="E116">
        <v>8.69</v>
      </c>
    </row>
    <row r="117" spans="1:5">
      <c r="A117" t="s">
        <v>216</v>
      </c>
      <c r="B117" t="s">
        <v>217</v>
      </c>
      <c r="C117" s="1">
        <v>45643.343007002317</v>
      </c>
      <c r="D117" t="s">
        <v>7</v>
      </c>
      <c r="E117">
        <v>42.21</v>
      </c>
    </row>
    <row r="118" spans="1:5">
      <c r="A118" t="s">
        <v>218</v>
      </c>
      <c r="B118" t="s">
        <v>219</v>
      </c>
      <c r="C118" s="1">
        <v>45657.343007002317</v>
      </c>
      <c r="D118" t="s">
        <v>29</v>
      </c>
      <c r="E118">
        <v>27.41</v>
      </c>
    </row>
    <row r="119" spans="1:5">
      <c r="A119" t="s">
        <v>220</v>
      </c>
      <c r="B119" t="s">
        <v>221</v>
      </c>
      <c r="C119" s="1">
        <v>45811.343007002317</v>
      </c>
      <c r="D119" t="s">
        <v>10</v>
      </c>
      <c r="E119">
        <v>15.18</v>
      </c>
    </row>
    <row r="120" spans="1:5">
      <c r="A120" t="s">
        <v>222</v>
      </c>
      <c r="B120" t="s">
        <v>223</v>
      </c>
      <c r="C120" s="1">
        <v>45888.343007002317</v>
      </c>
      <c r="D120" t="s">
        <v>10</v>
      </c>
      <c r="E120">
        <v>16.97</v>
      </c>
    </row>
    <row r="121" spans="1:5">
      <c r="A121" t="s">
        <v>224</v>
      </c>
      <c r="B121" t="s">
        <v>225</v>
      </c>
      <c r="C121" s="1">
        <v>45694.343007002317</v>
      </c>
      <c r="D121" t="s">
        <v>10</v>
      </c>
      <c r="E121">
        <v>17.95</v>
      </c>
    </row>
    <row r="122" spans="1:5">
      <c r="A122" t="s">
        <v>226</v>
      </c>
      <c r="B122" t="s">
        <v>58</v>
      </c>
      <c r="C122" s="1">
        <v>45767.343007002317</v>
      </c>
      <c r="D122" t="s">
        <v>29</v>
      </c>
      <c r="E122">
        <v>28.2</v>
      </c>
    </row>
    <row r="123" spans="1:5">
      <c r="A123" t="s">
        <v>227</v>
      </c>
      <c r="B123" t="s">
        <v>228</v>
      </c>
      <c r="C123" s="1">
        <v>45955.343007002317</v>
      </c>
      <c r="D123" t="s">
        <v>29</v>
      </c>
      <c r="E123">
        <v>26.95</v>
      </c>
    </row>
    <row r="124" spans="1:5">
      <c r="A124" t="s">
        <v>229</v>
      </c>
      <c r="B124" t="s">
        <v>230</v>
      </c>
      <c r="C124" s="1">
        <v>45809.343007002317</v>
      </c>
      <c r="D124" t="s">
        <v>50</v>
      </c>
      <c r="E124">
        <v>5.0599999999999996</v>
      </c>
    </row>
    <row r="125" spans="1:5">
      <c r="A125" t="s">
        <v>231</v>
      </c>
      <c r="B125" t="s">
        <v>62</v>
      </c>
      <c r="C125" s="1">
        <v>45630.343007002317</v>
      </c>
      <c r="D125" t="s">
        <v>13</v>
      </c>
      <c r="E125">
        <v>11.75</v>
      </c>
    </row>
    <row r="126" spans="1:5">
      <c r="A126" t="s">
        <v>232</v>
      </c>
      <c r="B126" t="s">
        <v>233</v>
      </c>
      <c r="C126" s="1">
        <v>45822.343007002317</v>
      </c>
      <c r="D126" t="s">
        <v>7</v>
      </c>
      <c r="E126">
        <v>33.35</v>
      </c>
    </row>
    <row r="127" spans="1:5">
      <c r="A127" t="s">
        <v>234</v>
      </c>
      <c r="B127" t="s">
        <v>33</v>
      </c>
      <c r="C127" s="1">
        <v>45696.343007002317</v>
      </c>
      <c r="D127" t="s">
        <v>50</v>
      </c>
      <c r="E127">
        <v>4.8</v>
      </c>
    </row>
    <row r="128" spans="1:5">
      <c r="A128" t="s">
        <v>235</v>
      </c>
      <c r="B128" t="s">
        <v>236</v>
      </c>
      <c r="C128" s="1">
        <v>45726.343007002317</v>
      </c>
      <c r="D128" t="s">
        <v>7</v>
      </c>
      <c r="E128">
        <v>46.56</v>
      </c>
    </row>
    <row r="129" spans="1:5">
      <c r="A129" t="s">
        <v>237</v>
      </c>
      <c r="B129" t="s">
        <v>238</v>
      </c>
      <c r="C129" s="1">
        <v>45852.343007002317</v>
      </c>
      <c r="D129" t="s">
        <v>13</v>
      </c>
      <c r="E129">
        <v>13.48</v>
      </c>
    </row>
    <row r="130" spans="1:5">
      <c r="A130" t="s">
        <v>239</v>
      </c>
      <c r="B130" t="s">
        <v>56</v>
      </c>
      <c r="C130" s="1">
        <v>45600.343007002317</v>
      </c>
      <c r="D130" t="s">
        <v>29</v>
      </c>
      <c r="E130">
        <v>22.16</v>
      </c>
    </row>
    <row r="131" spans="1:5">
      <c r="A131" t="s">
        <v>240</v>
      </c>
      <c r="B131" t="s">
        <v>241</v>
      </c>
      <c r="C131" s="1">
        <v>45813.343007002317</v>
      </c>
      <c r="D131" t="s">
        <v>13</v>
      </c>
      <c r="E131">
        <v>11.84</v>
      </c>
    </row>
    <row r="132" spans="1:5">
      <c r="A132" t="s">
        <v>242</v>
      </c>
      <c r="B132" t="s">
        <v>243</v>
      </c>
      <c r="C132" s="1">
        <v>45850.343007002317</v>
      </c>
      <c r="D132" t="s">
        <v>29</v>
      </c>
      <c r="E132">
        <v>28.17</v>
      </c>
    </row>
    <row r="133" spans="1:5">
      <c r="A133" t="s">
        <v>244</v>
      </c>
      <c r="B133" t="s">
        <v>49</v>
      </c>
      <c r="C133" s="1">
        <v>45954.343007002317</v>
      </c>
      <c r="D133" t="s">
        <v>13</v>
      </c>
      <c r="E133">
        <v>9.92</v>
      </c>
    </row>
    <row r="134" spans="1:5">
      <c r="A134" t="s">
        <v>245</v>
      </c>
      <c r="B134" t="s">
        <v>246</v>
      </c>
      <c r="C134" s="1">
        <v>45878.343007002317</v>
      </c>
      <c r="D134" t="s">
        <v>50</v>
      </c>
      <c r="E134">
        <v>4.7699999999999996</v>
      </c>
    </row>
    <row r="135" spans="1:5">
      <c r="A135" t="s">
        <v>247</v>
      </c>
      <c r="B135" t="s">
        <v>248</v>
      </c>
      <c r="C135" s="1">
        <v>45802.343007002317</v>
      </c>
      <c r="D135" t="s">
        <v>16</v>
      </c>
      <c r="E135">
        <v>11.41</v>
      </c>
    </row>
    <row r="136" spans="1:5">
      <c r="A136" t="s">
        <v>249</v>
      </c>
      <c r="B136" t="s">
        <v>250</v>
      </c>
      <c r="C136" s="1">
        <v>45610.343007002317</v>
      </c>
      <c r="D136" t="s">
        <v>50</v>
      </c>
      <c r="E136">
        <v>4.8099999999999996</v>
      </c>
    </row>
    <row r="137" spans="1:5">
      <c r="A137" t="s">
        <v>251</v>
      </c>
      <c r="B137" t="s">
        <v>70</v>
      </c>
      <c r="C137" s="1">
        <v>45941.343007002317</v>
      </c>
      <c r="D137" t="s">
        <v>7</v>
      </c>
      <c r="E137">
        <v>33.24</v>
      </c>
    </row>
    <row r="138" spans="1:5">
      <c r="A138" t="s">
        <v>252</v>
      </c>
      <c r="B138" t="s">
        <v>106</v>
      </c>
      <c r="C138" s="1">
        <v>45637.343007002317</v>
      </c>
      <c r="D138" t="s">
        <v>50</v>
      </c>
      <c r="E138">
        <v>5.09</v>
      </c>
    </row>
    <row r="139" spans="1:5">
      <c r="A139" t="s">
        <v>253</v>
      </c>
      <c r="B139" t="s">
        <v>254</v>
      </c>
      <c r="C139" s="1">
        <v>45774.343007002317</v>
      </c>
      <c r="D139" t="s">
        <v>10</v>
      </c>
      <c r="E139">
        <v>17.170000000000002</v>
      </c>
    </row>
    <row r="140" spans="1:5">
      <c r="A140" t="s">
        <v>255</v>
      </c>
      <c r="B140" t="s">
        <v>256</v>
      </c>
      <c r="C140" s="1">
        <v>45658.343007002317</v>
      </c>
      <c r="D140" t="s">
        <v>7</v>
      </c>
      <c r="E140">
        <v>41.44</v>
      </c>
    </row>
    <row r="141" spans="1:5">
      <c r="A141" t="s">
        <v>257</v>
      </c>
      <c r="B141" t="s">
        <v>258</v>
      </c>
      <c r="C141" s="1">
        <v>45947.343007002317</v>
      </c>
      <c r="D141" t="s">
        <v>13</v>
      </c>
      <c r="E141">
        <v>10.69</v>
      </c>
    </row>
    <row r="142" spans="1:5">
      <c r="A142" t="s">
        <v>259</v>
      </c>
      <c r="B142" t="s">
        <v>260</v>
      </c>
      <c r="C142" s="1">
        <v>45826.343007002317</v>
      </c>
      <c r="D142" t="s">
        <v>7</v>
      </c>
      <c r="E142">
        <v>38.15</v>
      </c>
    </row>
    <row r="143" spans="1:5">
      <c r="A143" t="s">
        <v>261</v>
      </c>
      <c r="B143" t="s">
        <v>155</v>
      </c>
      <c r="C143" s="1">
        <v>45836.343007002317</v>
      </c>
      <c r="D143" t="s">
        <v>16</v>
      </c>
      <c r="E143">
        <v>9.8000000000000007</v>
      </c>
    </row>
    <row r="144" spans="1:5">
      <c r="A144" t="s">
        <v>262</v>
      </c>
      <c r="B144" t="s">
        <v>205</v>
      </c>
      <c r="C144" s="1">
        <v>45647.343007002317</v>
      </c>
      <c r="D144" t="s">
        <v>29</v>
      </c>
      <c r="E144">
        <v>25.79</v>
      </c>
    </row>
    <row r="145" spans="1:5">
      <c r="A145" t="s">
        <v>263</v>
      </c>
      <c r="B145" t="s">
        <v>264</v>
      </c>
      <c r="C145" s="1">
        <v>45691.343007002317</v>
      </c>
      <c r="D145" t="s">
        <v>13</v>
      </c>
      <c r="E145">
        <v>13.24</v>
      </c>
    </row>
    <row r="146" spans="1:5">
      <c r="A146" t="s">
        <v>265</v>
      </c>
      <c r="B146" t="s">
        <v>266</v>
      </c>
      <c r="C146" s="1">
        <v>45817.343007002317</v>
      </c>
      <c r="D146" t="s">
        <v>7</v>
      </c>
      <c r="E146">
        <v>33.58</v>
      </c>
    </row>
    <row r="147" spans="1:5">
      <c r="A147" t="s">
        <v>267</v>
      </c>
      <c r="B147" t="s">
        <v>268</v>
      </c>
      <c r="C147" s="1">
        <v>45826.343007002317</v>
      </c>
      <c r="D147" t="s">
        <v>13</v>
      </c>
      <c r="E147">
        <v>13.87</v>
      </c>
    </row>
    <row r="148" spans="1:5">
      <c r="A148" t="s">
        <v>269</v>
      </c>
      <c r="B148" t="s">
        <v>100</v>
      </c>
      <c r="C148" s="1">
        <v>45832.343007002317</v>
      </c>
      <c r="D148" t="s">
        <v>13</v>
      </c>
      <c r="E148">
        <v>9.66</v>
      </c>
    </row>
    <row r="149" spans="1:5">
      <c r="A149" t="s">
        <v>270</v>
      </c>
      <c r="B149" t="s">
        <v>238</v>
      </c>
      <c r="C149" s="1">
        <v>45738.343007002317</v>
      </c>
      <c r="D149" t="s">
        <v>13</v>
      </c>
      <c r="E149">
        <v>11.38</v>
      </c>
    </row>
    <row r="150" spans="1:5">
      <c r="A150" t="s">
        <v>271</v>
      </c>
      <c r="B150" t="s">
        <v>272</v>
      </c>
      <c r="C150" s="1">
        <v>45766.343007002317</v>
      </c>
      <c r="D150" t="s">
        <v>29</v>
      </c>
      <c r="E150">
        <v>20.27</v>
      </c>
    </row>
    <row r="151" spans="1:5">
      <c r="A151" t="s">
        <v>273</v>
      </c>
      <c r="B151" t="s">
        <v>256</v>
      </c>
      <c r="C151" s="1">
        <v>45624.343007002317</v>
      </c>
      <c r="D151" t="s">
        <v>50</v>
      </c>
      <c r="E151">
        <v>4.79</v>
      </c>
    </row>
    <row r="152" spans="1:5">
      <c r="A152" t="s">
        <v>274</v>
      </c>
      <c r="B152" t="s">
        <v>275</v>
      </c>
      <c r="C152" s="1">
        <v>45631.343007002317</v>
      </c>
      <c r="D152" t="s">
        <v>13</v>
      </c>
      <c r="E152">
        <v>12.12</v>
      </c>
    </row>
    <row r="153" spans="1:5">
      <c r="A153" t="s">
        <v>276</v>
      </c>
      <c r="B153" t="s">
        <v>120</v>
      </c>
      <c r="C153" s="1">
        <v>45608.343007002317</v>
      </c>
      <c r="D153" t="s">
        <v>10</v>
      </c>
      <c r="E153">
        <v>15.07</v>
      </c>
    </row>
    <row r="154" spans="1:5">
      <c r="A154" t="s">
        <v>277</v>
      </c>
      <c r="B154" t="s">
        <v>9</v>
      </c>
      <c r="C154" s="1">
        <v>45755.343007002317</v>
      </c>
      <c r="D154" t="s">
        <v>16</v>
      </c>
      <c r="E154">
        <v>8.66</v>
      </c>
    </row>
    <row r="155" spans="1:5">
      <c r="A155" t="s">
        <v>278</v>
      </c>
      <c r="B155" t="s">
        <v>279</v>
      </c>
      <c r="C155" s="1">
        <v>45922.343007002317</v>
      </c>
      <c r="D155" t="s">
        <v>29</v>
      </c>
      <c r="E155">
        <v>26.46</v>
      </c>
    </row>
    <row r="156" spans="1:5">
      <c r="A156" t="s">
        <v>280</v>
      </c>
      <c r="B156" t="s">
        <v>281</v>
      </c>
      <c r="C156" s="1">
        <v>45782.343007002317</v>
      </c>
      <c r="D156" t="s">
        <v>7</v>
      </c>
      <c r="E156">
        <v>32.72</v>
      </c>
    </row>
    <row r="157" spans="1:5">
      <c r="A157" t="s">
        <v>282</v>
      </c>
      <c r="B157" t="s">
        <v>106</v>
      </c>
      <c r="C157" s="1">
        <v>45838.343007002317</v>
      </c>
      <c r="D157" t="s">
        <v>29</v>
      </c>
      <c r="E157">
        <v>27.62</v>
      </c>
    </row>
    <row r="158" spans="1:5">
      <c r="A158" t="s">
        <v>283</v>
      </c>
      <c r="B158" t="s">
        <v>284</v>
      </c>
      <c r="C158" s="1">
        <v>45681.343007002317</v>
      </c>
      <c r="D158" t="s">
        <v>7</v>
      </c>
      <c r="E158">
        <v>47.15</v>
      </c>
    </row>
    <row r="159" spans="1:5">
      <c r="A159" t="s">
        <v>285</v>
      </c>
      <c r="B159" t="s">
        <v>250</v>
      </c>
      <c r="C159" s="1">
        <v>45879.343007002317</v>
      </c>
      <c r="D159" t="s">
        <v>29</v>
      </c>
      <c r="E159">
        <v>23.4</v>
      </c>
    </row>
    <row r="160" spans="1:5">
      <c r="A160" t="s">
        <v>286</v>
      </c>
      <c r="B160" t="s">
        <v>287</v>
      </c>
      <c r="C160" s="1">
        <v>45661.343007002317</v>
      </c>
      <c r="D160" t="s">
        <v>7</v>
      </c>
      <c r="E160">
        <v>40.28</v>
      </c>
    </row>
    <row r="161" spans="1:5">
      <c r="A161" t="s">
        <v>288</v>
      </c>
      <c r="B161" t="s">
        <v>289</v>
      </c>
      <c r="C161" s="1">
        <v>45765.343007002317</v>
      </c>
      <c r="D161" t="s">
        <v>13</v>
      </c>
      <c r="E161">
        <v>11.42</v>
      </c>
    </row>
    <row r="162" spans="1:5">
      <c r="A162" t="s">
        <v>290</v>
      </c>
      <c r="B162" t="s">
        <v>31</v>
      </c>
      <c r="C162" s="1">
        <v>45640.343007002317</v>
      </c>
      <c r="D162" t="s">
        <v>50</v>
      </c>
      <c r="E162">
        <v>4.01</v>
      </c>
    </row>
    <row r="163" spans="1:5">
      <c r="A163" t="s">
        <v>291</v>
      </c>
      <c r="B163" t="s">
        <v>279</v>
      </c>
      <c r="C163" s="1">
        <v>45657.343007002317</v>
      </c>
      <c r="D163" t="s">
        <v>7</v>
      </c>
      <c r="E163">
        <v>38.17</v>
      </c>
    </row>
    <row r="164" spans="1:5">
      <c r="A164" t="s">
        <v>292</v>
      </c>
      <c r="B164" t="s">
        <v>190</v>
      </c>
      <c r="C164" s="1">
        <v>45729.343007002317</v>
      </c>
      <c r="D164" t="s">
        <v>7</v>
      </c>
      <c r="E164">
        <v>44.67</v>
      </c>
    </row>
    <row r="165" spans="1:5">
      <c r="A165" t="s">
        <v>293</v>
      </c>
      <c r="B165" t="s">
        <v>153</v>
      </c>
      <c r="C165" s="1">
        <v>45879.343007002317</v>
      </c>
      <c r="D165" t="s">
        <v>10</v>
      </c>
      <c r="E165">
        <v>15.58</v>
      </c>
    </row>
    <row r="166" spans="1:5">
      <c r="A166" t="s">
        <v>294</v>
      </c>
      <c r="B166" t="s">
        <v>106</v>
      </c>
      <c r="C166" s="1">
        <v>45623.343007002317</v>
      </c>
      <c r="D166" t="s">
        <v>7</v>
      </c>
      <c r="E166">
        <v>33.619999999999997</v>
      </c>
    </row>
    <row r="167" spans="1:5">
      <c r="A167" t="s">
        <v>295</v>
      </c>
      <c r="B167" t="s">
        <v>296</v>
      </c>
      <c r="C167" s="1">
        <v>45703.343007002317</v>
      </c>
      <c r="D167" t="s">
        <v>10</v>
      </c>
      <c r="E167">
        <v>17.079999999999998</v>
      </c>
    </row>
    <row r="168" spans="1:5">
      <c r="A168" t="s">
        <v>297</v>
      </c>
      <c r="B168" t="s">
        <v>289</v>
      </c>
      <c r="C168" s="1">
        <v>45639.343007002317</v>
      </c>
      <c r="D168" t="s">
        <v>16</v>
      </c>
      <c r="E168">
        <v>10.119999999999999</v>
      </c>
    </row>
    <row r="169" spans="1:5">
      <c r="A169" t="s">
        <v>298</v>
      </c>
      <c r="B169" t="s">
        <v>233</v>
      </c>
      <c r="C169" s="1">
        <v>45935.343007002317</v>
      </c>
      <c r="D169" t="s">
        <v>13</v>
      </c>
      <c r="E169">
        <v>13.64</v>
      </c>
    </row>
    <row r="170" spans="1:5">
      <c r="A170" t="s">
        <v>299</v>
      </c>
      <c r="B170" t="s">
        <v>300</v>
      </c>
      <c r="C170" s="1">
        <v>45881.343007002317</v>
      </c>
      <c r="D170" t="s">
        <v>10</v>
      </c>
      <c r="E170">
        <v>15.48</v>
      </c>
    </row>
    <row r="171" spans="1:5">
      <c r="A171" t="s">
        <v>301</v>
      </c>
      <c r="B171" t="s">
        <v>202</v>
      </c>
      <c r="C171" s="1">
        <v>45926.343007002317</v>
      </c>
      <c r="D171" t="s">
        <v>50</v>
      </c>
      <c r="E171">
        <v>5.12</v>
      </c>
    </row>
    <row r="172" spans="1:5">
      <c r="A172" t="s">
        <v>302</v>
      </c>
      <c r="B172" t="s">
        <v>303</v>
      </c>
      <c r="C172" s="1">
        <v>45723.343007002317</v>
      </c>
      <c r="D172" t="s">
        <v>13</v>
      </c>
      <c r="E172">
        <v>10.11</v>
      </c>
    </row>
    <row r="173" spans="1:5">
      <c r="A173" t="s">
        <v>304</v>
      </c>
      <c r="B173" t="s">
        <v>305</v>
      </c>
      <c r="C173" s="1">
        <v>45943.343007002317</v>
      </c>
      <c r="D173" t="s">
        <v>10</v>
      </c>
      <c r="E173">
        <v>13</v>
      </c>
    </row>
    <row r="174" spans="1:5">
      <c r="A174" t="s">
        <v>306</v>
      </c>
      <c r="B174" t="s">
        <v>307</v>
      </c>
      <c r="C174" s="1">
        <v>45826.343007002317</v>
      </c>
      <c r="D174" t="s">
        <v>13</v>
      </c>
      <c r="E174">
        <v>14.27</v>
      </c>
    </row>
    <row r="175" spans="1:5">
      <c r="A175" t="s">
        <v>308</v>
      </c>
      <c r="B175" t="s">
        <v>309</v>
      </c>
      <c r="C175" s="1">
        <v>45785.343007002317</v>
      </c>
      <c r="D175" t="s">
        <v>13</v>
      </c>
      <c r="E175">
        <v>10.7</v>
      </c>
    </row>
    <row r="176" spans="1:5">
      <c r="A176" t="s">
        <v>310</v>
      </c>
      <c r="B176" t="s">
        <v>281</v>
      </c>
      <c r="C176" s="1">
        <v>45820.343007002317</v>
      </c>
      <c r="D176" t="s">
        <v>13</v>
      </c>
      <c r="E176">
        <v>14.29</v>
      </c>
    </row>
    <row r="177" spans="1:5">
      <c r="A177" t="s">
        <v>311</v>
      </c>
      <c r="B177" t="s">
        <v>68</v>
      </c>
      <c r="C177" s="1">
        <v>45878.343007002317</v>
      </c>
      <c r="D177" t="s">
        <v>16</v>
      </c>
      <c r="E177">
        <v>10.130000000000001</v>
      </c>
    </row>
    <row r="178" spans="1:5">
      <c r="A178" t="s">
        <v>312</v>
      </c>
      <c r="B178" t="s">
        <v>313</v>
      </c>
      <c r="C178" s="1">
        <v>45716.343007002317</v>
      </c>
      <c r="D178" t="s">
        <v>50</v>
      </c>
      <c r="E178">
        <v>4.2699999999999996</v>
      </c>
    </row>
    <row r="179" spans="1:5">
      <c r="A179" t="s">
        <v>314</v>
      </c>
      <c r="B179" t="s">
        <v>315</v>
      </c>
      <c r="C179" s="1">
        <v>45711.343007002317</v>
      </c>
      <c r="D179" t="s">
        <v>29</v>
      </c>
      <c r="E179">
        <v>20.99</v>
      </c>
    </row>
    <row r="180" spans="1:5">
      <c r="A180" t="s">
        <v>316</v>
      </c>
      <c r="B180" t="s">
        <v>317</v>
      </c>
      <c r="C180" s="1">
        <v>45828.343007002317</v>
      </c>
      <c r="D180" t="s">
        <v>29</v>
      </c>
      <c r="E180">
        <v>22.09</v>
      </c>
    </row>
    <row r="181" spans="1:5">
      <c r="A181" t="s">
        <v>318</v>
      </c>
      <c r="B181" t="s">
        <v>233</v>
      </c>
      <c r="C181" s="1">
        <v>45854.343007002317</v>
      </c>
      <c r="D181" t="s">
        <v>10</v>
      </c>
      <c r="E181">
        <v>17.55</v>
      </c>
    </row>
    <row r="182" spans="1:5">
      <c r="A182" t="s">
        <v>319</v>
      </c>
      <c r="B182" t="s">
        <v>78</v>
      </c>
      <c r="C182" s="1">
        <v>45954.343007002317</v>
      </c>
      <c r="D182" t="s">
        <v>13</v>
      </c>
      <c r="E182">
        <v>11.59</v>
      </c>
    </row>
    <row r="183" spans="1:5">
      <c r="A183" t="s">
        <v>320</v>
      </c>
      <c r="B183" t="s">
        <v>321</v>
      </c>
      <c r="C183" s="1">
        <v>45793.343007002317</v>
      </c>
      <c r="D183" t="s">
        <v>10</v>
      </c>
      <c r="E183">
        <v>14.37</v>
      </c>
    </row>
    <row r="184" spans="1:5">
      <c r="A184" t="s">
        <v>322</v>
      </c>
      <c r="B184" t="s">
        <v>323</v>
      </c>
      <c r="C184" s="1">
        <v>45732.343007002317</v>
      </c>
      <c r="D184" t="s">
        <v>16</v>
      </c>
      <c r="E184">
        <v>9.25</v>
      </c>
    </row>
    <row r="185" spans="1:5">
      <c r="A185" t="s">
        <v>324</v>
      </c>
      <c r="B185" t="s">
        <v>325</v>
      </c>
      <c r="C185" s="1">
        <v>45913.343007002317</v>
      </c>
      <c r="D185" t="s">
        <v>16</v>
      </c>
      <c r="E185">
        <v>8.59</v>
      </c>
    </row>
    <row r="186" spans="1:5">
      <c r="A186" t="s">
        <v>326</v>
      </c>
      <c r="B186" t="s">
        <v>327</v>
      </c>
      <c r="C186" s="1">
        <v>45760.343007002317</v>
      </c>
      <c r="D186" t="s">
        <v>7</v>
      </c>
      <c r="E186">
        <v>39.81</v>
      </c>
    </row>
    <row r="187" spans="1:5">
      <c r="A187" t="s">
        <v>328</v>
      </c>
      <c r="B187" t="s">
        <v>329</v>
      </c>
      <c r="C187" s="1">
        <v>45820.343007002317</v>
      </c>
      <c r="D187" t="s">
        <v>16</v>
      </c>
      <c r="E187">
        <v>8.52</v>
      </c>
    </row>
    <row r="188" spans="1:5">
      <c r="A188" t="s">
        <v>330</v>
      </c>
      <c r="B188" t="s">
        <v>331</v>
      </c>
      <c r="C188" s="1">
        <v>45902.343007002317</v>
      </c>
      <c r="D188" t="s">
        <v>7</v>
      </c>
      <c r="E188">
        <v>45.37</v>
      </c>
    </row>
    <row r="189" spans="1:5">
      <c r="A189" t="s">
        <v>332</v>
      </c>
      <c r="B189" t="s">
        <v>82</v>
      </c>
      <c r="C189" s="1">
        <v>45829.343007002317</v>
      </c>
      <c r="D189" t="s">
        <v>50</v>
      </c>
      <c r="E189">
        <v>4.74</v>
      </c>
    </row>
    <row r="190" spans="1:5">
      <c r="A190" t="s">
        <v>333</v>
      </c>
      <c r="B190" t="s">
        <v>334</v>
      </c>
      <c r="C190" s="1">
        <v>45767.343007002317</v>
      </c>
      <c r="D190" t="s">
        <v>10</v>
      </c>
      <c r="E190">
        <v>14.25</v>
      </c>
    </row>
    <row r="191" spans="1:5">
      <c r="A191" t="s">
        <v>335</v>
      </c>
      <c r="B191" t="s">
        <v>241</v>
      </c>
      <c r="C191" s="1">
        <v>45747.343007002317</v>
      </c>
      <c r="D191" t="s">
        <v>50</v>
      </c>
      <c r="E191">
        <v>4.95</v>
      </c>
    </row>
    <row r="192" spans="1:5">
      <c r="A192" t="s">
        <v>336</v>
      </c>
      <c r="B192" t="s">
        <v>337</v>
      </c>
      <c r="C192" s="1">
        <v>45910.343007002317</v>
      </c>
      <c r="D192" t="s">
        <v>16</v>
      </c>
      <c r="E192">
        <v>9.7799999999999994</v>
      </c>
    </row>
    <row r="193" spans="1:5">
      <c r="A193" t="s">
        <v>338</v>
      </c>
      <c r="B193" t="s">
        <v>98</v>
      </c>
      <c r="C193" s="1">
        <v>45755.343007002317</v>
      </c>
      <c r="D193" t="s">
        <v>50</v>
      </c>
      <c r="E193">
        <v>5.99</v>
      </c>
    </row>
    <row r="194" spans="1:5">
      <c r="A194" t="s">
        <v>339</v>
      </c>
      <c r="B194" t="s">
        <v>340</v>
      </c>
      <c r="C194" s="1">
        <v>45691.343007002317</v>
      </c>
      <c r="D194" t="s">
        <v>50</v>
      </c>
      <c r="E194">
        <v>5.09</v>
      </c>
    </row>
    <row r="195" spans="1:5">
      <c r="A195" t="s">
        <v>341</v>
      </c>
      <c r="B195" t="s">
        <v>342</v>
      </c>
      <c r="C195" s="1">
        <v>45828.343007002317</v>
      </c>
      <c r="D195" t="s">
        <v>50</v>
      </c>
      <c r="E195">
        <v>4.18</v>
      </c>
    </row>
    <row r="196" spans="1:5">
      <c r="A196" t="s">
        <v>343</v>
      </c>
      <c r="B196" t="s">
        <v>344</v>
      </c>
      <c r="C196" s="1">
        <v>45775.343007002317</v>
      </c>
      <c r="D196" t="s">
        <v>16</v>
      </c>
      <c r="E196">
        <v>10.43</v>
      </c>
    </row>
    <row r="197" spans="1:5">
      <c r="A197" t="s">
        <v>345</v>
      </c>
      <c r="B197" t="s">
        <v>241</v>
      </c>
      <c r="C197" s="1">
        <v>45708.343007002317</v>
      </c>
      <c r="D197" t="s">
        <v>13</v>
      </c>
      <c r="E197">
        <v>10.33</v>
      </c>
    </row>
    <row r="198" spans="1:5">
      <c r="A198" t="s">
        <v>346</v>
      </c>
      <c r="B198" t="s">
        <v>98</v>
      </c>
      <c r="C198" s="1">
        <v>45913.343007002317</v>
      </c>
      <c r="D198" t="s">
        <v>50</v>
      </c>
      <c r="E198">
        <v>4.0599999999999996</v>
      </c>
    </row>
    <row r="199" spans="1:5">
      <c r="A199" t="s">
        <v>347</v>
      </c>
      <c r="B199" t="s">
        <v>12</v>
      </c>
      <c r="C199" s="1">
        <v>45647.343007002317</v>
      </c>
      <c r="D199" t="s">
        <v>7</v>
      </c>
      <c r="E199">
        <v>47.53</v>
      </c>
    </row>
    <row r="200" spans="1:5">
      <c r="A200" t="s">
        <v>348</v>
      </c>
      <c r="B200" t="s">
        <v>349</v>
      </c>
      <c r="C200" s="1">
        <v>45863.343007002317</v>
      </c>
      <c r="D200" t="s">
        <v>16</v>
      </c>
      <c r="E200">
        <v>11.09</v>
      </c>
    </row>
    <row r="201" spans="1:5">
      <c r="A201" t="s">
        <v>350</v>
      </c>
      <c r="B201" t="s">
        <v>351</v>
      </c>
      <c r="C201" s="1">
        <v>45890.343007002317</v>
      </c>
      <c r="D201" t="s">
        <v>50</v>
      </c>
      <c r="E201">
        <v>5.96</v>
      </c>
    </row>
    <row r="202" spans="1:5">
      <c r="A202" t="s">
        <v>352</v>
      </c>
      <c r="B202" t="s">
        <v>353</v>
      </c>
      <c r="C202" s="1">
        <v>45708.343007002317</v>
      </c>
      <c r="D202" t="s">
        <v>13</v>
      </c>
      <c r="E202">
        <v>11.89</v>
      </c>
    </row>
    <row r="203" spans="1:5">
      <c r="A203" t="s">
        <v>354</v>
      </c>
      <c r="B203" t="s">
        <v>355</v>
      </c>
      <c r="C203" s="1">
        <v>45696.343007002317</v>
      </c>
      <c r="D203" t="s">
        <v>16</v>
      </c>
      <c r="E203">
        <v>10.130000000000001</v>
      </c>
    </row>
    <row r="204" spans="1:5">
      <c r="A204" t="s">
        <v>356</v>
      </c>
      <c r="B204" t="s">
        <v>357</v>
      </c>
      <c r="C204" s="1">
        <v>45708.343007002317</v>
      </c>
      <c r="D204" t="s">
        <v>29</v>
      </c>
      <c r="E204">
        <v>21.68</v>
      </c>
    </row>
    <row r="205" spans="1:5">
      <c r="A205" t="s">
        <v>358</v>
      </c>
      <c r="B205" t="s">
        <v>359</v>
      </c>
      <c r="C205" s="1">
        <v>45676.343007002317</v>
      </c>
      <c r="D205" t="s">
        <v>13</v>
      </c>
      <c r="E205">
        <v>10.79</v>
      </c>
    </row>
    <row r="206" spans="1:5">
      <c r="A206" t="s">
        <v>360</v>
      </c>
      <c r="B206" t="s">
        <v>64</v>
      </c>
      <c r="C206" s="1">
        <v>45782.343007002317</v>
      </c>
      <c r="D206" t="s">
        <v>7</v>
      </c>
      <c r="E206">
        <v>45.42</v>
      </c>
    </row>
    <row r="207" spans="1:5">
      <c r="A207" t="s">
        <v>361</v>
      </c>
      <c r="B207" t="s">
        <v>124</v>
      </c>
      <c r="C207" s="1">
        <v>45708.343007002317</v>
      </c>
      <c r="D207" t="s">
        <v>50</v>
      </c>
      <c r="E207">
        <v>4.71</v>
      </c>
    </row>
    <row r="208" spans="1:5">
      <c r="A208" t="s">
        <v>362</v>
      </c>
      <c r="B208" t="s">
        <v>223</v>
      </c>
      <c r="C208" s="1">
        <v>45597.343007002317</v>
      </c>
      <c r="D208" t="s">
        <v>29</v>
      </c>
      <c r="E208">
        <v>28.27</v>
      </c>
    </row>
    <row r="209" spans="1:5">
      <c r="A209" t="s">
        <v>363</v>
      </c>
      <c r="B209" t="s">
        <v>140</v>
      </c>
      <c r="C209" s="1">
        <v>45725.343007002317</v>
      </c>
      <c r="D209" t="s">
        <v>29</v>
      </c>
      <c r="E209">
        <v>27.09</v>
      </c>
    </row>
    <row r="210" spans="1:5">
      <c r="A210" t="s">
        <v>364</v>
      </c>
      <c r="B210" t="s">
        <v>219</v>
      </c>
      <c r="C210" s="1">
        <v>45815.343007002317</v>
      </c>
      <c r="D210" t="s">
        <v>16</v>
      </c>
      <c r="E210">
        <v>8.7100000000000009</v>
      </c>
    </row>
    <row r="211" spans="1:5">
      <c r="A211" t="s">
        <v>365</v>
      </c>
      <c r="B211" t="s">
        <v>334</v>
      </c>
      <c r="C211" s="1">
        <v>45649.343007002317</v>
      </c>
      <c r="D211" t="s">
        <v>29</v>
      </c>
      <c r="E211">
        <v>25.07</v>
      </c>
    </row>
    <row r="212" spans="1:5">
      <c r="A212" t="s">
        <v>366</v>
      </c>
      <c r="B212" t="s">
        <v>70</v>
      </c>
      <c r="C212" s="1">
        <v>45938.343007002317</v>
      </c>
      <c r="D212" t="s">
        <v>7</v>
      </c>
      <c r="E212">
        <v>42.84</v>
      </c>
    </row>
    <row r="213" spans="1:5">
      <c r="A213" t="s">
        <v>367</v>
      </c>
      <c r="B213" t="s">
        <v>368</v>
      </c>
      <c r="C213" s="1">
        <v>45819.343007002317</v>
      </c>
      <c r="D213" t="s">
        <v>7</v>
      </c>
      <c r="E213">
        <v>35.76</v>
      </c>
    </row>
    <row r="214" spans="1:5">
      <c r="A214" t="s">
        <v>369</v>
      </c>
      <c r="B214" t="s">
        <v>370</v>
      </c>
      <c r="C214" s="1">
        <v>45820.343007002317</v>
      </c>
      <c r="D214" t="s">
        <v>10</v>
      </c>
      <c r="E214">
        <v>16.98</v>
      </c>
    </row>
    <row r="215" spans="1:5">
      <c r="A215" t="s">
        <v>371</v>
      </c>
      <c r="B215" t="s">
        <v>78</v>
      </c>
      <c r="C215" s="1">
        <v>45721.343007002317</v>
      </c>
      <c r="D215" t="s">
        <v>7</v>
      </c>
      <c r="E215">
        <v>40.72</v>
      </c>
    </row>
    <row r="216" spans="1:5">
      <c r="A216" t="s">
        <v>372</v>
      </c>
      <c r="B216" t="s">
        <v>98</v>
      </c>
      <c r="C216" s="1">
        <v>45725.343007002317</v>
      </c>
      <c r="D216" t="s">
        <v>13</v>
      </c>
      <c r="E216">
        <v>10.39</v>
      </c>
    </row>
    <row r="217" spans="1:5">
      <c r="A217" t="s">
        <v>373</v>
      </c>
      <c r="B217" t="s">
        <v>374</v>
      </c>
      <c r="C217" s="1">
        <v>45648.343007002317</v>
      </c>
      <c r="D217" t="s">
        <v>29</v>
      </c>
      <c r="E217">
        <v>25.83</v>
      </c>
    </row>
    <row r="218" spans="1:5">
      <c r="A218" t="s">
        <v>375</v>
      </c>
      <c r="B218" t="s">
        <v>74</v>
      </c>
      <c r="C218" s="1">
        <v>45767.343007002317</v>
      </c>
      <c r="D218" t="s">
        <v>7</v>
      </c>
      <c r="E218">
        <v>48</v>
      </c>
    </row>
    <row r="219" spans="1:5">
      <c r="A219" t="s">
        <v>376</v>
      </c>
      <c r="B219" t="s">
        <v>238</v>
      </c>
      <c r="C219" s="1">
        <v>45813.343007002317</v>
      </c>
      <c r="D219" t="s">
        <v>16</v>
      </c>
      <c r="E219">
        <v>8.6</v>
      </c>
    </row>
    <row r="220" spans="1:5">
      <c r="A220" t="s">
        <v>377</v>
      </c>
      <c r="B220" t="s">
        <v>378</v>
      </c>
      <c r="C220" s="1">
        <v>45755.343007002317</v>
      </c>
      <c r="D220" t="s">
        <v>10</v>
      </c>
      <c r="E220">
        <v>16.899999999999999</v>
      </c>
    </row>
    <row r="221" spans="1:5">
      <c r="A221" t="s">
        <v>379</v>
      </c>
      <c r="B221" t="s">
        <v>380</v>
      </c>
      <c r="C221" s="1">
        <v>45793.343007002317</v>
      </c>
      <c r="D221" t="s">
        <v>29</v>
      </c>
      <c r="E221">
        <v>22.07</v>
      </c>
    </row>
    <row r="222" spans="1:5">
      <c r="A222" t="s">
        <v>381</v>
      </c>
      <c r="B222" t="s">
        <v>382</v>
      </c>
      <c r="C222" s="1">
        <v>45842.343007002317</v>
      </c>
      <c r="D222" t="s">
        <v>10</v>
      </c>
      <c r="E222">
        <v>16.690000000000001</v>
      </c>
    </row>
    <row r="223" spans="1:5">
      <c r="A223" t="s">
        <v>383</v>
      </c>
      <c r="B223" t="s">
        <v>9</v>
      </c>
      <c r="C223" s="1">
        <v>45919.343007002317</v>
      </c>
      <c r="D223" t="s">
        <v>29</v>
      </c>
      <c r="E223">
        <v>27.35</v>
      </c>
    </row>
    <row r="224" spans="1:5">
      <c r="A224" t="s">
        <v>384</v>
      </c>
      <c r="B224" t="s">
        <v>385</v>
      </c>
      <c r="C224" s="1">
        <v>45798.343007002317</v>
      </c>
      <c r="D224" t="s">
        <v>16</v>
      </c>
      <c r="E224">
        <v>9.1999999999999993</v>
      </c>
    </row>
    <row r="225" spans="1:5">
      <c r="A225" t="s">
        <v>386</v>
      </c>
      <c r="B225" t="s">
        <v>387</v>
      </c>
      <c r="C225" s="1">
        <v>45779.343007002317</v>
      </c>
      <c r="D225" t="s">
        <v>10</v>
      </c>
      <c r="E225">
        <v>13.95</v>
      </c>
    </row>
    <row r="226" spans="1:5">
      <c r="A226" t="s">
        <v>388</v>
      </c>
      <c r="B226" t="s">
        <v>389</v>
      </c>
      <c r="C226" s="1">
        <v>45718.343007002317</v>
      </c>
      <c r="D226" t="s">
        <v>50</v>
      </c>
      <c r="E226">
        <v>5.59</v>
      </c>
    </row>
    <row r="227" spans="1:5">
      <c r="A227" t="s">
        <v>390</v>
      </c>
      <c r="B227" t="s">
        <v>391</v>
      </c>
      <c r="C227" s="1">
        <v>45850.343007002317</v>
      </c>
      <c r="D227" t="s">
        <v>13</v>
      </c>
      <c r="E227">
        <v>11.81</v>
      </c>
    </row>
    <row r="228" spans="1:5">
      <c r="A228" t="s">
        <v>392</v>
      </c>
      <c r="B228" t="s">
        <v>393</v>
      </c>
      <c r="C228" s="1">
        <v>45889.343007002317</v>
      </c>
      <c r="D228" t="s">
        <v>13</v>
      </c>
      <c r="E228">
        <v>13.11</v>
      </c>
    </row>
    <row r="229" spans="1:5">
      <c r="A229" t="s">
        <v>394</v>
      </c>
      <c r="B229" t="s">
        <v>281</v>
      </c>
      <c r="C229" s="1">
        <v>45875.343007002317</v>
      </c>
      <c r="D229" t="s">
        <v>29</v>
      </c>
      <c r="E229">
        <v>21.48</v>
      </c>
    </row>
    <row r="230" spans="1:5">
      <c r="A230" t="s">
        <v>395</v>
      </c>
      <c r="B230" t="s">
        <v>396</v>
      </c>
      <c r="C230" s="1">
        <v>45920.343007002317</v>
      </c>
      <c r="D230" t="s">
        <v>50</v>
      </c>
      <c r="E230">
        <v>5.71</v>
      </c>
    </row>
    <row r="231" spans="1:5">
      <c r="A231" t="s">
        <v>397</v>
      </c>
      <c r="B231" t="s">
        <v>398</v>
      </c>
      <c r="C231" s="1">
        <v>45693.343007002317</v>
      </c>
      <c r="D231" t="s">
        <v>10</v>
      </c>
      <c r="E231">
        <v>16.27</v>
      </c>
    </row>
    <row r="232" spans="1:5">
      <c r="A232" t="s">
        <v>399</v>
      </c>
      <c r="B232" t="s">
        <v>400</v>
      </c>
      <c r="C232" s="1">
        <v>45793.343007002317</v>
      </c>
      <c r="D232" t="s">
        <v>50</v>
      </c>
      <c r="E232">
        <v>5.81</v>
      </c>
    </row>
    <row r="233" spans="1:5">
      <c r="A233" t="s">
        <v>401</v>
      </c>
      <c r="B233" t="s">
        <v>402</v>
      </c>
      <c r="C233" s="1">
        <v>45835.343007002317</v>
      </c>
      <c r="D233" t="s">
        <v>50</v>
      </c>
      <c r="E233">
        <v>4.26</v>
      </c>
    </row>
    <row r="234" spans="1:5">
      <c r="A234" t="s">
        <v>403</v>
      </c>
      <c r="B234" t="s">
        <v>192</v>
      </c>
      <c r="C234" s="1">
        <v>45739.343007002317</v>
      </c>
      <c r="D234" t="s">
        <v>10</v>
      </c>
      <c r="E234">
        <v>15.56</v>
      </c>
    </row>
    <row r="235" spans="1:5">
      <c r="A235" t="s">
        <v>404</v>
      </c>
      <c r="B235" t="s">
        <v>405</v>
      </c>
      <c r="C235" s="1">
        <v>45692.343007002317</v>
      </c>
      <c r="D235" t="s">
        <v>16</v>
      </c>
      <c r="E235">
        <v>10.4</v>
      </c>
    </row>
    <row r="236" spans="1:5">
      <c r="A236" t="s">
        <v>406</v>
      </c>
      <c r="B236" t="s">
        <v>407</v>
      </c>
      <c r="C236" s="1">
        <v>45796.343007002317</v>
      </c>
      <c r="D236" t="s">
        <v>50</v>
      </c>
      <c r="E236">
        <v>4.71</v>
      </c>
    </row>
    <row r="237" spans="1:5">
      <c r="A237" t="s">
        <v>408</v>
      </c>
      <c r="B237" t="s">
        <v>409</v>
      </c>
      <c r="C237" s="1">
        <v>45719.343007002317</v>
      </c>
      <c r="D237" t="s">
        <v>50</v>
      </c>
      <c r="E237">
        <v>4.92</v>
      </c>
    </row>
    <row r="238" spans="1:5">
      <c r="A238" t="s">
        <v>410</v>
      </c>
      <c r="B238" t="s">
        <v>411</v>
      </c>
      <c r="C238" s="1">
        <v>45782.343007002317</v>
      </c>
      <c r="D238" t="s">
        <v>16</v>
      </c>
      <c r="E238">
        <v>8.15</v>
      </c>
    </row>
    <row r="239" spans="1:5">
      <c r="A239" t="s">
        <v>412</v>
      </c>
      <c r="B239" t="s">
        <v>18</v>
      </c>
      <c r="C239" s="1">
        <v>45921.343007002317</v>
      </c>
      <c r="D239" t="s">
        <v>50</v>
      </c>
      <c r="E239">
        <v>5.49</v>
      </c>
    </row>
    <row r="240" spans="1:5">
      <c r="A240" t="s">
        <v>413</v>
      </c>
      <c r="B240" t="s">
        <v>213</v>
      </c>
      <c r="C240" s="1">
        <v>45944.343007002317</v>
      </c>
      <c r="D240" t="s">
        <v>50</v>
      </c>
      <c r="E240">
        <v>5.0999999999999996</v>
      </c>
    </row>
    <row r="241" spans="1:5">
      <c r="A241" t="s">
        <v>414</v>
      </c>
      <c r="B241" t="s">
        <v>415</v>
      </c>
      <c r="C241" s="1">
        <v>45854.343007002317</v>
      </c>
      <c r="D241" t="s">
        <v>50</v>
      </c>
      <c r="E241">
        <v>4.12</v>
      </c>
    </row>
    <row r="242" spans="1:5">
      <c r="A242" t="s">
        <v>416</v>
      </c>
      <c r="B242" t="s">
        <v>329</v>
      </c>
      <c r="C242" s="1">
        <v>45743.343007002317</v>
      </c>
      <c r="D242" t="s">
        <v>13</v>
      </c>
      <c r="E242">
        <v>12.87</v>
      </c>
    </row>
    <row r="243" spans="1:5">
      <c r="A243" t="s">
        <v>417</v>
      </c>
      <c r="B243" t="s">
        <v>418</v>
      </c>
      <c r="C243" s="1">
        <v>45847.343007002317</v>
      </c>
      <c r="D243" t="s">
        <v>7</v>
      </c>
      <c r="E243">
        <v>39.47</v>
      </c>
    </row>
    <row r="244" spans="1:5">
      <c r="A244" t="s">
        <v>419</v>
      </c>
      <c r="B244" t="s">
        <v>420</v>
      </c>
      <c r="C244" s="1">
        <v>45941.343007002317</v>
      </c>
      <c r="D244" t="s">
        <v>16</v>
      </c>
      <c r="E244">
        <v>8.14</v>
      </c>
    </row>
    <row r="245" spans="1:5">
      <c r="A245" t="s">
        <v>421</v>
      </c>
      <c r="B245" t="s">
        <v>422</v>
      </c>
      <c r="C245" s="1">
        <v>45742.343007002317</v>
      </c>
      <c r="D245" t="s">
        <v>50</v>
      </c>
      <c r="E245">
        <v>5.94</v>
      </c>
    </row>
    <row r="246" spans="1:5">
      <c r="A246" t="s">
        <v>423</v>
      </c>
      <c r="B246" t="s">
        <v>424</v>
      </c>
      <c r="C246" s="1">
        <v>45743.343007002317</v>
      </c>
      <c r="D246" t="s">
        <v>13</v>
      </c>
      <c r="E246">
        <v>14.16</v>
      </c>
    </row>
    <row r="247" spans="1:5">
      <c r="A247" t="s">
        <v>425</v>
      </c>
      <c r="B247" t="s">
        <v>246</v>
      </c>
      <c r="C247" s="1">
        <v>45947.343007002317</v>
      </c>
      <c r="D247" t="s">
        <v>16</v>
      </c>
      <c r="E247">
        <v>10.050000000000001</v>
      </c>
    </row>
    <row r="248" spans="1:5">
      <c r="A248" t="s">
        <v>426</v>
      </c>
      <c r="B248" t="s">
        <v>309</v>
      </c>
      <c r="C248" s="1">
        <v>45794.343007002317</v>
      </c>
      <c r="D248" t="s">
        <v>29</v>
      </c>
      <c r="E248">
        <v>20.94</v>
      </c>
    </row>
    <row r="249" spans="1:5">
      <c r="A249" t="s">
        <v>427</v>
      </c>
      <c r="B249" t="s">
        <v>374</v>
      </c>
      <c r="C249" s="1">
        <v>45903.343007002317</v>
      </c>
      <c r="D249" t="s">
        <v>29</v>
      </c>
      <c r="E249">
        <v>27.55</v>
      </c>
    </row>
    <row r="250" spans="1:5">
      <c r="A250" t="s">
        <v>428</v>
      </c>
      <c r="B250" t="s">
        <v>429</v>
      </c>
      <c r="C250" s="1">
        <v>45723.343007002317</v>
      </c>
      <c r="D250" t="s">
        <v>50</v>
      </c>
      <c r="E250">
        <v>4.9800000000000004</v>
      </c>
    </row>
    <row r="251" spans="1:5">
      <c r="A251" t="s">
        <v>430</v>
      </c>
      <c r="B251" t="s">
        <v>303</v>
      </c>
      <c r="C251" s="1">
        <v>45634.343007002317</v>
      </c>
      <c r="D251" t="s">
        <v>13</v>
      </c>
      <c r="E251">
        <v>11.05</v>
      </c>
    </row>
    <row r="252" spans="1:5">
      <c r="A252" t="s">
        <v>431</v>
      </c>
      <c r="B252" t="s">
        <v>266</v>
      </c>
      <c r="C252" s="1">
        <v>45933.343007002317</v>
      </c>
      <c r="D252" t="s">
        <v>13</v>
      </c>
      <c r="E252">
        <v>11.96</v>
      </c>
    </row>
    <row r="253" spans="1:5">
      <c r="A253" t="s">
        <v>432</v>
      </c>
      <c r="B253" t="s">
        <v>300</v>
      </c>
      <c r="C253" s="1">
        <v>45955.343007002317</v>
      </c>
      <c r="D253" t="s">
        <v>16</v>
      </c>
      <c r="E253">
        <v>10.09</v>
      </c>
    </row>
    <row r="254" spans="1:5">
      <c r="A254" t="s">
        <v>433</v>
      </c>
      <c r="B254" t="s">
        <v>434</v>
      </c>
      <c r="C254" s="1">
        <v>45724.343007002317</v>
      </c>
      <c r="D254" t="s">
        <v>16</v>
      </c>
      <c r="E254">
        <v>10.25</v>
      </c>
    </row>
    <row r="255" spans="1:5">
      <c r="A255" t="s">
        <v>435</v>
      </c>
      <c r="B255" t="s">
        <v>177</v>
      </c>
      <c r="C255" s="1">
        <v>45862.343007002317</v>
      </c>
      <c r="D255" t="s">
        <v>13</v>
      </c>
      <c r="E255">
        <v>11.72</v>
      </c>
    </row>
    <row r="256" spans="1:5">
      <c r="A256" t="s">
        <v>436</v>
      </c>
      <c r="B256" t="s">
        <v>434</v>
      </c>
      <c r="C256" s="1">
        <v>45746.343007002317</v>
      </c>
      <c r="D256" t="s">
        <v>16</v>
      </c>
      <c r="E256">
        <v>10.42</v>
      </c>
    </row>
    <row r="257" spans="1:5">
      <c r="A257" t="s">
        <v>437</v>
      </c>
      <c r="B257" t="s">
        <v>96</v>
      </c>
      <c r="C257" s="1">
        <v>45893.343007002317</v>
      </c>
      <c r="D257" t="s">
        <v>13</v>
      </c>
      <c r="E257">
        <v>14.01</v>
      </c>
    </row>
    <row r="258" spans="1:5">
      <c r="A258" t="s">
        <v>438</v>
      </c>
      <c r="B258" t="s">
        <v>439</v>
      </c>
      <c r="C258" s="1">
        <v>45694.343007002317</v>
      </c>
      <c r="D258" t="s">
        <v>7</v>
      </c>
      <c r="E258">
        <v>37.799999999999997</v>
      </c>
    </row>
    <row r="259" spans="1:5">
      <c r="A259" t="s">
        <v>440</v>
      </c>
      <c r="B259" t="s">
        <v>441</v>
      </c>
      <c r="C259" s="1">
        <v>45858.343007002317</v>
      </c>
      <c r="D259" t="s">
        <v>13</v>
      </c>
      <c r="E259">
        <v>13.08</v>
      </c>
    </row>
    <row r="260" spans="1:5">
      <c r="A260" t="s">
        <v>442</v>
      </c>
      <c r="B260" t="s">
        <v>86</v>
      </c>
      <c r="C260" s="1">
        <v>45847.343007002317</v>
      </c>
      <c r="D260" t="s">
        <v>29</v>
      </c>
      <c r="E260">
        <v>28.94</v>
      </c>
    </row>
    <row r="261" spans="1:5">
      <c r="A261" t="s">
        <v>443</v>
      </c>
      <c r="B261" t="s">
        <v>444</v>
      </c>
      <c r="C261" s="1">
        <v>45739.343007002317</v>
      </c>
      <c r="D261" t="s">
        <v>16</v>
      </c>
      <c r="E261">
        <v>9.82</v>
      </c>
    </row>
    <row r="262" spans="1:5">
      <c r="A262" t="s">
        <v>445</v>
      </c>
      <c r="B262" t="s">
        <v>446</v>
      </c>
      <c r="C262" s="1">
        <v>45941.343007002317</v>
      </c>
      <c r="D262" t="s">
        <v>13</v>
      </c>
      <c r="E262">
        <v>11.73</v>
      </c>
    </row>
    <row r="263" spans="1:5">
      <c r="A263" t="s">
        <v>447</v>
      </c>
      <c r="B263" t="s">
        <v>448</v>
      </c>
      <c r="C263" s="1">
        <v>45707.343007002317</v>
      </c>
      <c r="D263" t="s">
        <v>13</v>
      </c>
      <c r="E263">
        <v>12.49</v>
      </c>
    </row>
    <row r="264" spans="1:5">
      <c r="A264" t="s">
        <v>449</v>
      </c>
      <c r="B264" t="s">
        <v>450</v>
      </c>
      <c r="C264" s="1">
        <v>45655.343007002317</v>
      </c>
      <c r="D264" t="s">
        <v>16</v>
      </c>
      <c r="E264">
        <v>10.37</v>
      </c>
    </row>
    <row r="265" spans="1:5">
      <c r="A265" t="s">
        <v>451</v>
      </c>
      <c r="B265" t="s">
        <v>452</v>
      </c>
      <c r="C265" s="1">
        <v>45597.343007002317</v>
      </c>
      <c r="D265" t="s">
        <v>7</v>
      </c>
      <c r="E265">
        <v>44.91</v>
      </c>
    </row>
    <row r="266" spans="1:5">
      <c r="A266" t="s">
        <v>453</v>
      </c>
      <c r="B266" t="s">
        <v>454</v>
      </c>
      <c r="C266" s="1">
        <v>45899.343007002317</v>
      </c>
      <c r="D266" t="s">
        <v>7</v>
      </c>
      <c r="E266">
        <v>39.619999999999997</v>
      </c>
    </row>
    <row r="267" spans="1:5">
      <c r="A267" t="s">
        <v>455</v>
      </c>
      <c r="B267" t="s">
        <v>250</v>
      </c>
      <c r="C267" s="1">
        <v>45849.343007002317</v>
      </c>
      <c r="D267" t="s">
        <v>16</v>
      </c>
      <c r="E267">
        <v>11.98</v>
      </c>
    </row>
    <row r="268" spans="1:5">
      <c r="A268" t="s">
        <v>456</v>
      </c>
      <c r="B268" t="s">
        <v>225</v>
      </c>
      <c r="C268" s="1">
        <v>45735.343007002317</v>
      </c>
      <c r="D268" t="s">
        <v>10</v>
      </c>
      <c r="E268">
        <v>12.36</v>
      </c>
    </row>
    <row r="269" spans="1:5">
      <c r="A269" t="s">
        <v>457</v>
      </c>
      <c r="B269" t="s">
        <v>458</v>
      </c>
      <c r="C269" s="1">
        <v>45632.343007002317</v>
      </c>
      <c r="D269" t="s">
        <v>16</v>
      </c>
      <c r="E269">
        <v>8.01</v>
      </c>
    </row>
    <row r="270" spans="1:5">
      <c r="A270" t="s">
        <v>459</v>
      </c>
      <c r="B270" t="s">
        <v>460</v>
      </c>
      <c r="C270" s="1">
        <v>45755.343007002317</v>
      </c>
      <c r="D270" t="s">
        <v>16</v>
      </c>
      <c r="E270">
        <v>10.56</v>
      </c>
    </row>
    <row r="271" spans="1:5">
      <c r="A271" t="s">
        <v>461</v>
      </c>
      <c r="B271" t="s">
        <v>303</v>
      </c>
      <c r="C271" s="1">
        <v>45604.343007002317</v>
      </c>
      <c r="D271" t="s">
        <v>7</v>
      </c>
      <c r="E271">
        <v>36.770000000000003</v>
      </c>
    </row>
    <row r="272" spans="1:5">
      <c r="A272" t="s">
        <v>462</v>
      </c>
      <c r="B272" t="s">
        <v>213</v>
      </c>
      <c r="C272" s="1">
        <v>45828.343007002317</v>
      </c>
      <c r="D272" t="s">
        <v>7</v>
      </c>
      <c r="E272">
        <v>35.85</v>
      </c>
    </row>
    <row r="273" spans="1:5">
      <c r="A273" t="s">
        <v>463</v>
      </c>
      <c r="B273" t="s">
        <v>260</v>
      </c>
      <c r="C273" s="1">
        <v>45694.343007002317</v>
      </c>
      <c r="D273" t="s">
        <v>16</v>
      </c>
      <c r="E273">
        <v>9.25</v>
      </c>
    </row>
    <row r="274" spans="1:5">
      <c r="A274" t="s">
        <v>464</v>
      </c>
      <c r="B274" t="s">
        <v>465</v>
      </c>
      <c r="C274" s="1">
        <v>45742.343007002317</v>
      </c>
      <c r="D274" t="s">
        <v>16</v>
      </c>
      <c r="E274">
        <v>9.02</v>
      </c>
    </row>
    <row r="275" spans="1:5">
      <c r="A275" t="s">
        <v>466</v>
      </c>
      <c r="B275" t="s">
        <v>266</v>
      </c>
      <c r="C275" s="1">
        <v>45899.343007002317</v>
      </c>
      <c r="D275" t="s">
        <v>16</v>
      </c>
      <c r="E275">
        <v>8.1199999999999992</v>
      </c>
    </row>
    <row r="276" spans="1:5">
      <c r="A276" t="s">
        <v>467</v>
      </c>
      <c r="B276" t="s">
        <v>88</v>
      </c>
      <c r="C276" s="1">
        <v>45803.343007002317</v>
      </c>
      <c r="D276" t="s">
        <v>7</v>
      </c>
      <c r="E276">
        <v>47.54</v>
      </c>
    </row>
    <row r="277" spans="1:5">
      <c r="A277" t="s">
        <v>468</v>
      </c>
      <c r="B277" t="s">
        <v>469</v>
      </c>
      <c r="C277" s="1">
        <v>45726.343007002317</v>
      </c>
      <c r="D277" t="s">
        <v>16</v>
      </c>
      <c r="E277">
        <v>8.8800000000000008</v>
      </c>
    </row>
    <row r="278" spans="1:5">
      <c r="A278" t="s">
        <v>470</v>
      </c>
      <c r="B278" t="s">
        <v>471</v>
      </c>
      <c r="C278" s="1">
        <v>45747.343007002317</v>
      </c>
      <c r="D278" t="s">
        <v>16</v>
      </c>
      <c r="E278">
        <v>10.94</v>
      </c>
    </row>
    <row r="279" spans="1:5">
      <c r="A279" t="s">
        <v>472</v>
      </c>
      <c r="B279" t="s">
        <v>264</v>
      </c>
      <c r="C279" s="1">
        <v>45649.343007002317</v>
      </c>
      <c r="D279" t="s">
        <v>50</v>
      </c>
      <c r="E279">
        <v>5.53</v>
      </c>
    </row>
    <row r="280" spans="1:5">
      <c r="A280" t="s">
        <v>473</v>
      </c>
      <c r="B280" t="s">
        <v>74</v>
      </c>
      <c r="C280" s="1">
        <v>45715.343007002317</v>
      </c>
      <c r="D280" t="s">
        <v>10</v>
      </c>
      <c r="E280">
        <v>17.579999999999998</v>
      </c>
    </row>
    <row r="281" spans="1:5">
      <c r="A281" t="s">
        <v>474</v>
      </c>
      <c r="B281" t="s">
        <v>110</v>
      </c>
      <c r="C281" s="1">
        <v>45756.343007002317</v>
      </c>
      <c r="D281" t="s">
        <v>29</v>
      </c>
      <c r="E281">
        <v>20.309999999999999</v>
      </c>
    </row>
    <row r="282" spans="1:5">
      <c r="A282" t="s">
        <v>475</v>
      </c>
      <c r="B282" t="s">
        <v>52</v>
      </c>
      <c r="C282" s="1">
        <v>45711.343007002317</v>
      </c>
      <c r="D282" t="s">
        <v>10</v>
      </c>
      <c r="E282">
        <v>17.23</v>
      </c>
    </row>
    <row r="283" spans="1:5">
      <c r="A283" t="s">
        <v>476</v>
      </c>
      <c r="B283" t="s">
        <v>344</v>
      </c>
      <c r="C283" s="1">
        <v>45670.343007002317</v>
      </c>
      <c r="D283" t="s">
        <v>50</v>
      </c>
      <c r="E283">
        <v>5.05</v>
      </c>
    </row>
    <row r="284" spans="1:5">
      <c r="A284" t="s">
        <v>477</v>
      </c>
      <c r="B284" t="s">
        <v>248</v>
      </c>
      <c r="C284" s="1">
        <v>45708.343007002317</v>
      </c>
      <c r="D284" t="s">
        <v>29</v>
      </c>
      <c r="E284">
        <v>26.33</v>
      </c>
    </row>
    <row r="285" spans="1:5">
      <c r="A285" t="s">
        <v>478</v>
      </c>
      <c r="B285" t="s">
        <v>479</v>
      </c>
      <c r="C285" s="1">
        <v>45699.343007002317</v>
      </c>
      <c r="D285" t="s">
        <v>16</v>
      </c>
      <c r="E285">
        <v>10.58</v>
      </c>
    </row>
    <row r="286" spans="1:5">
      <c r="A286" t="s">
        <v>480</v>
      </c>
      <c r="B286" t="s">
        <v>221</v>
      </c>
      <c r="C286" s="1">
        <v>45935.343007002317</v>
      </c>
      <c r="D286" t="s">
        <v>50</v>
      </c>
      <c r="E286">
        <v>5.64</v>
      </c>
    </row>
    <row r="287" spans="1:5">
      <c r="A287" t="s">
        <v>481</v>
      </c>
      <c r="B287" t="s">
        <v>122</v>
      </c>
      <c r="C287" s="1">
        <v>45849.343007002317</v>
      </c>
      <c r="D287" t="s">
        <v>16</v>
      </c>
      <c r="E287">
        <v>9.33</v>
      </c>
    </row>
    <row r="288" spans="1:5">
      <c r="A288" t="s">
        <v>482</v>
      </c>
      <c r="B288" t="s">
        <v>483</v>
      </c>
      <c r="C288" s="1">
        <v>45822.343007002317</v>
      </c>
      <c r="D288" t="s">
        <v>7</v>
      </c>
      <c r="E288">
        <v>43.73</v>
      </c>
    </row>
    <row r="289" spans="1:5">
      <c r="A289" t="s">
        <v>484</v>
      </c>
      <c r="B289" t="s">
        <v>26</v>
      </c>
      <c r="C289" s="1">
        <v>45707.343007002317</v>
      </c>
      <c r="D289" t="s">
        <v>13</v>
      </c>
      <c r="E289">
        <v>12.14</v>
      </c>
    </row>
    <row r="290" spans="1:5">
      <c r="A290" t="s">
        <v>485</v>
      </c>
      <c r="B290" t="s">
        <v>460</v>
      </c>
      <c r="C290" s="1">
        <v>45694.343007002317</v>
      </c>
      <c r="D290" t="s">
        <v>50</v>
      </c>
      <c r="E290">
        <v>5.59</v>
      </c>
    </row>
    <row r="291" spans="1:5">
      <c r="A291" t="s">
        <v>486</v>
      </c>
      <c r="B291" t="s">
        <v>487</v>
      </c>
      <c r="C291" s="1">
        <v>45748.343007002317</v>
      </c>
      <c r="D291" t="s">
        <v>7</v>
      </c>
      <c r="E291">
        <v>47.85</v>
      </c>
    </row>
    <row r="292" spans="1:5">
      <c r="A292" t="s">
        <v>488</v>
      </c>
      <c r="B292" t="s">
        <v>86</v>
      </c>
      <c r="C292" s="1">
        <v>45944.343007002317</v>
      </c>
      <c r="D292" t="s">
        <v>50</v>
      </c>
      <c r="E292">
        <v>4.4000000000000004</v>
      </c>
    </row>
    <row r="293" spans="1:5">
      <c r="A293" t="s">
        <v>489</v>
      </c>
      <c r="B293" t="s">
        <v>173</v>
      </c>
      <c r="C293" s="1">
        <v>45933.343007002317</v>
      </c>
      <c r="D293" t="s">
        <v>50</v>
      </c>
      <c r="E293">
        <v>5.99</v>
      </c>
    </row>
    <row r="294" spans="1:5">
      <c r="A294" t="s">
        <v>490</v>
      </c>
      <c r="B294" t="s">
        <v>491</v>
      </c>
      <c r="C294" s="1">
        <v>45789.343007002317</v>
      </c>
      <c r="D294" t="s">
        <v>7</v>
      </c>
      <c r="E294">
        <v>33.44</v>
      </c>
    </row>
    <row r="295" spans="1:5">
      <c r="A295" t="s">
        <v>492</v>
      </c>
      <c r="B295" t="s">
        <v>493</v>
      </c>
      <c r="C295" s="1">
        <v>45905.343007002317</v>
      </c>
      <c r="D295" t="s">
        <v>29</v>
      </c>
      <c r="E295">
        <v>20.02</v>
      </c>
    </row>
    <row r="296" spans="1:5">
      <c r="A296" t="s">
        <v>494</v>
      </c>
      <c r="B296" t="s">
        <v>495</v>
      </c>
      <c r="C296" s="1">
        <v>45758.343007002317</v>
      </c>
      <c r="D296" t="s">
        <v>10</v>
      </c>
      <c r="E296">
        <v>12.26</v>
      </c>
    </row>
    <row r="297" spans="1:5">
      <c r="A297" t="s">
        <v>496</v>
      </c>
      <c r="B297" t="s">
        <v>497</v>
      </c>
      <c r="C297" s="1">
        <v>45803.343007002317</v>
      </c>
      <c r="D297" t="s">
        <v>16</v>
      </c>
      <c r="E297">
        <v>9.3699999999999992</v>
      </c>
    </row>
    <row r="298" spans="1:5">
      <c r="A298" t="s">
        <v>498</v>
      </c>
      <c r="B298" t="s">
        <v>28</v>
      </c>
      <c r="C298" s="1">
        <v>45764.343007002317</v>
      </c>
      <c r="D298" t="s">
        <v>50</v>
      </c>
      <c r="E298">
        <v>5.27</v>
      </c>
    </row>
    <row r="299" spans="1:5">
      <c r="A299" t="s">
        <v>499</v>
      </c>
      <c r="B299" t="s">
        <v>500</v>
      </c>
      <c r="C299" s="1">
        <v>45756.343007002317</v>
      </c>
      <c r="D299" t="s">
        <v>16</v>
      </c>
      <c r="E299">
        <v>8.2799999999999994</v>
      </c>
    </row>
    <row r="300" spans="1:5">
      <c r="A300" t="s">
        <v>501</v>
      </c>
      <c r="B300" t="s">
        <v>502</v>
      </c>
      <c r="C300" s="1">
        <v>45663.343007002317</v>
      </c>
      <c r="D300" t="s">
        <v>13</v>
      </c>
      <c r="E300">
        <v>9.6300000000000008</v>
      </c>
    </row>
    <row r="301" spans="1:5">
      <c r="A301" t="s">
        <v>503</v>
      </c>
      <c r="B301" t="s">
        <v>181</v>
      </c>
      <c r="C301" s="1">
        <v>45884.343007002317</v>
      </c>
      <c r="D301" t="s">
        <v>7</v>
      </c>
      <c r="E301">
        <v>46.99</v>
      </c>
    </row>
    <row r="302" spans="1:5">
      <c r="A302" t="s">
        <v>504</v>
      </c>
      <c r="B302" t="s">
        <v>183</v>
      </c>
      <c r="C302" s="1">
        <v>45872.343007002317</v>
      </c>
      <c r="D302" t="s">
        <v>16</v>
      </c>
      <c r="E302">
        <v>11.29</v>
      </c>
    </row>
    <row r="303" spans="1:5">
      <c r="A303" t="s">
        <v>505</v>
      </c>
      <c r="B303" t="s">
        <v>225</v>
      </c>
      <c r="C303" s="1">
        <v>45899.343007002317</v>
      </c>
      <c r="D303" t="s">
        <v>7</v>
      </c>
      <c r="E303">
        <v>44.95</v>
      </c>
    </row>
    <row r="304" spans="1:5">
      <c r="A304" t="s">
        <v>506</v>
      </c>
      <c r="B304" t="s">
        <v>243</v>
      </c>
      <c r="C304" s="1">
        <v>45730.343007002317</v>
      </c>
      <c r="D304" t="s">
        <v>16</v>
      </c>
      <c r="E304">
        <v>11.54</v>
      </c>
    </row>
    <row r="305" spans="1:5">
      <c r="A305" t="s">
        <v>507</v>
      </c>
      <c r="B305" t="s">
        <v>62</v>
      </c>
      <c r="C305" s="1">
        <v>45790.343007002317</v>
      </c>
      <c r="D305" t="s">
        <v>10</v>
      </c>
      <c r="E305">
        <v>16.2</v>
      </c>
    </row>
    <row r="306" spans="1:5">
      <c r="A306" t="s">
        <v>508</v>
      </c>
      <c r="B306" t="s">
        <v>58</v>
      </c>
      <c r="C306" s="1">
        <v>45723.343007002317</v>
      </c>
      <c r="D306" t="s">
        <v>10</v>
      </c>
      <c r="E306">
        <v>12.63</v>
      </c>
    </row>
    <row r="307" spans="1:5">
      <c r="A307" t="s">
        <v>509</v>
      </c>
      <c r="B307" t="s">
        <v>192</v>
      </c>
      <c r="C307" s="1">
        <v>45628.343007002317</v>
      </c>
      <c r="D307" t="s">
        <v>10</v>
      </c>
      <c r="E307">
        <v>14.39</v>
      </c>
    </row>
    <row r="308" spans="1:5">
      <c r="A308" t="s">
        <v>510</v>
      </c>
      <c r="B308" t="s">
        <v>511</v>
      </c>
      <c r="C308" s="1">
        <v>45771.343007002317</v>
      </c>
      <c r="D308" t="s">
        <v>10</v>
      </c>
      <c r="E308">
        <v>16.34</v>
      </c>
    </row>
    <row r="309" spans="1:5">
      <c r="A309" t="s">
        <v>512</v>
      </c>
      <c r="B309" t="s">
        <v>325</v>
      </c>
      <c r="C309" s="1">
        <v>45617.343007002317</v>
      </c>
      <c r="D309" t="s">
        <v>10</v>
      </c>
      <c r="E309">
        <v>13.68</v>
      </c>
    </row>
    <row r="310" spans="1:5">
      <c r="A310" t="s">
        <v>513</v>
      </c>
      <c r="B310" t="s">
        <v>514</v>
      </c>
      <c r="C310" s="1">
        <v>45833.343007002317</v>
      </c>
      <c r="D310" t="s">
        <v>10</v>
      </c>
      <c r="E310">
        <v>16.12</v>
      </c>
    </row>
    <row r="311" spans="1:5">
      <c r="A311" t="s">
        <v>515</v>
      </c>
      <c r="B311" t="s">
        <v>92</v>
      </c>
      <c r="C311" s="1">
        <v>45753.343007002317</v>
      </c>
      <c r="D311" t="s">
        <v>7</v>
      </c>
      <c r="E311">
        <v>32.39</v>
      </c>
    </row>
    <row r="312" spans="1:5">
      <c r="A312" t="s">
        <v>516</v>
      </c>
      <c r="B312" t="s">
        <v>517</v>
      </c>
      <c r="C312" s="1">
        <v>45633.343007002317</v>
      </c>
      <c r="D312" t="s">
        <v>50</v>
      </c>
      <c r="E312">
        <v>4.6100000000000003</v>
      </c>
    </row>
    <row r="313" spans="1:5">
      <c r="A313" t="s">
        <v>518</v>
      </c>
      <c r="B313" t="s">
        <v>519</v>
      </c>
      <c r="C313" s="1">
        <v>45825.343007002317</v>
      </c>
      <c r="D313" t="s">
        <v>16</v>
      </c>
      <c r="E313">
        <v>10.199999999999999</v>
      </c>
    </row>
    <row r="314" spans="1:5">
      <c r="A314" t="s">
        <v>520</v>
      </c>
      <c r="B314" t="s">
        <v>460</v>
      </c>
      <c r="C314" s="1">
        <v>45960.343007002317</v>
      </c>
      <c r="D314" t="s">
        <v>10</v>
      </c>
      <c r="E314">
        <v>15.79</v>
      </c>
    </row>
    <row r="315" spans="1:5">
      <c r="A315" t="s">
        <v>521</v>
      </c>
      <c r="B315" t="s">
        <v>241</v>
      </c>
      <c r="C315" s="1">
        <v>45646.343007002317</v>
      </c>
      <c r="D315" t="s">
        <v>7</v>
      </c>
      <c r="E315">
        <v>41.23</v>
      </c>
    </row>
    <row r="316" spans="1:5">
      <c r="A316" t="s">
        <v>522</v>
      </c>
      <c r="B316" t="s">
        <v>130</v>
      </c>
      <c r="C316" s="1">
        <v>45859.343007002317</v>
      </c>
      <c r="D316" t="s">
        <v>7</v>
      </c>
      <c r="E316">
        <v>43.16</v>
      </c>
    </row>
    <row r="317" spans="1:5">
      <c r="A317" t="s">
        <v>523</v>
      </c>
      <c r="B317" t="s">
        <v>272</v>
      </c>
      <c r="C317" s="1">
        <v>45878.343007002317</v>
      </c>
      <c r="D317" t="s">
        <v>7</v>
      </c>
      <c r="E317">
        <v>32.1</v>
      </c>
    </row>
    <row r="318" spans="1:5">
      <c r="A318" t="s">
        <v>524</v>
      </c>
      <c r="B318" t="s">
        <v>448</v>
      </c>
      <c r="C318" s="1">
        <v>45622.343007002317</v>
      </c>
      <c r="D318" t="s">
        <v>50</v>
      </c>
      <c r="E318">
        <v>4.2</v>
      </c>
    </row>
    <row r="319" spans="1:5">
      <c r="A319" t="s">
        <v>525</v>
      </c>
      <c r="B319" t="s">
        <v>45</v>
      </c>
      <c r="C319" s="1">
        <v>45821.343007002317</v>
      </c>
      <c r="D319" t="s">
        <v>16</v>
      </c>
      <c r="E319">
        <v>11.48</v>
      </c>
    </row>
    <row r="320" spans="1:5">
      <c r="A320" t="s">
        <v>526</v>
      </c>
      <c r="B320" t="s">
        <v>134</v>
      </c>
      <c r="C320" s="1">
        <v>45872.343007002317</v>
      </c>
      <c r="D320" t="s">
        <v>50</v>
      </c>
      <c r="E320">
        <v>5.36</v>
      </c>
    </row>
    <row r="321" spans="1:5">
      <c r="A321" t="s">
        <v>527</v>
      </c>
      <c r="B321" t="s">
        <v>528</v>
      </c>
      <c r="C321" s="1">
        <v>45881.343007002317</v>
      </c>
      <c r="D321" t="s">
        <v>29</v>
      </c>
      <c r="E321">
        <v>21.13</v>
      </c>
    </row>
    <row r="322" spans="1:5">
      <c r="A322" t="s">
        <v>529</v>
      </c>
      <c r="B322" t="s">
        <v>393</v>
      </c>
      <c r="C322" s="1">
        <v>45692.343007002317</v>
      </c>
      <c r="D322" t="s">
        <v>7</v>
      </c>
      <c r="E322">
        <v>45.47</v>
      </c>
    </row>
    <row r="323" spans="1:5">
      <c r="A323" t="s">
        <v>530</v>
      </c>
      <c r="B323" t="s">
        <v>359</v>
      </c>
      <c r="C323" s="1">
        <v>45879.343007002317</v>
      </c>
      <c r="D323" t="s">
        <v>29</v>
      </c>
      <c r="E323">
        <v>22.42</v>
      </c>
    </row>
    <row r="324" spans="1:5">
      <c r="A324" t="s">
        <v>531</v>
      </c>
      <c r="B324" t="s">
        <v>190</v>
      </c>
      <c r="C324" s="1">
        <v>45912.343007002317</v>
      </c>
      <c r="D324" t="s">
        <v>13</v>
      </c>
      <c r="E324">
        <v>11.9</v>
      </c>
    </row>
    <row r="325" spans="1:5">
      <c r="A325" t="s">
        <v>532</v>
      </c>
      <c r="B325" t="s">
        <v>519</v>
      </c>
      <c r="C325" s="1">
        <v>45899.343007002317</v>
      </c>
      <c r="D325" t="s">
        <v>10</v>
      </c>
      <c r="E325">
        <v>12.87</v>
      </c>
    </row>
    <row r="326" spans="1:5">
      <c r="A326" t="s">
        <v>533</v>
      </c>
      <c r="B326" t="s">
        <v>254</v>
      </c>
      <c r="C326" s="1">
        <v>45742.343007002317</v>
      </c>
      <c r="D326" t="s">
        <v>10</v>
      </c>
      <c r="E326">
        <v>16.260000000000002</v>
      </c>
    </row>
    <row r="327" spans="1:5">
      <c r="A327" t="s">
        <v>534</v>
      </c>
      <c r="B327" t="s">
        <v>446</v>
      </c>
      <c r="C327" s="1">
        <v>45599.343007002317</v>
      </c>
      <c r="D327" t="s">
        <v>50</v>
      </c>
      <c r="E327">
        <v>5.33</v>
      </c>
    </row>
    <row r="328" spans="1:5">
      <c r="A328" t="s">
        <v>535</v>
      </c>
      <c r="B328" t="s">
        <v>250</v>
      </c>
      <c r="C328" s="1">
        <v>45630.343007002317</v>
      </c>
      <c r="D328" t="s">
        <v>16</v>
      </c>
      <c r="E328">
        <v>8.84</v>
      </c>
    </row>
    <row r="329" spans="1:5">
      <c r="A329" t="s">
        <v>536</v>
      </c>
      <c r="B329" t="s">
        <v>537</v>
      </c>
      <c r="C329" s="1">
        <v>45787.343007002317</v>
      </c>
      <c r="D329" t="s">
        <v>29</v>
      </c>
      <c r="E329">
        <v>28.63</v>
      </c>
    </row>
    <row r="330" spans="1:5">
      <c r="A330" t="s">
        <v>538</v>
      </c>
      <c r="B330" t="s">
        <v>446</v>
      </c>
      <c r="C330" s="1">
        <v>45644.343007002317</v>
      </c>
      <c r="D330" t="s">
        <v>16</v>
      </c>
      <c r="E330">
        <v>9.61</v>
      </c>
    </row>
    <row r="331" spans="1:5">
      <c r="A331" t="s">
        <v>539</v>
      </c>
      <c r="B331" t="s">
        <v>58</v>
      </c>
      <c r="C331" s="1">
        <v>45612.343007002317</v>
      </c>
      <c r="D331" t="s">
        <v>50</v>
      </c>
      <c r="E331">
        <v>4.59</v>
      </c>
    </row>
    <row r="332" spans="1:5">
      <c r="A332" t="s">
        <v>540</v>
      </c>
      <c r="B332" t="s">
        <v>264</v>
      </c>
      <c r="C332" s="1">
        <v>45767.343007002317</v>
      </c>
      <c r="D332" t="s">
        <v>10</v>
      </c>
      <c r="E332">
        <v>12.91</v>
      </c>
    </row>
    <row r="333" spans="1:5">
      <c r="A333" t="s">
        <v>541</v>
      </c>
      <c r="B333" t="s">
        <v>542</v>
      </c>
      <c r="C333" s="1">
        <v>45815.343007002317</v>
      </c>
      <c r="D333" t="s">
        <v>16</v>
      </c>
      <c r="E333">
        <v>9.06</v>
      </c>
    </row>
    <row r="334" spans="1:5">
      <c r="A334" t="s">
        <v>543</v>
      </c>
      <c r="B334" t="s">
        <v>544</v>
      </c>
      <c r="C334" s="1">
        <v>45753.343007002317</v>
      </c>
      <c r="D334" t="s">
        <v>16</v>
      </c>
      <c r="E334">
        <v>8.09</v>
      </c>
    </row>
    <row r="335" spans="1:5">
      <c r="A335" t="s">
        <v>545</v>
      </c>
      <c r="B335" t="s">
        <v>546</v>
      </c>
      <c r="C335" s="1">
        <v>45641.343007002317</v>
      </c>
      <c r="D335" t="s">
        <v>10</v>
      </c>
      <c r="E335">
        <v>15.5</v>
      </c>
    </row>
    <row r="336" spans="1:5">
      <c r="A336" t="s">
        <v>547</v>
      </c>
      <c r="B336" t="s">
        <v>94</v>
      </c>
      <c r="C336" s="1">
        <v>45601.343007002317</v>
      </c>
      <c r="D336" t="s">
        <v>29</v>
      </c>
      <c r="E336">
        <v>28.42</v>
      </c>
    </row>
    <row r="337" spans="1:5">
      <c r="A337" t="s">
        <v>548</v>
      </c>
      <c r="B337" t="s">
        <v>88</v>
      </c>
      <c r="C337" s="1">
        <v>45694.343007002317</v>
      </c>
      <c r="D337" t="s">
        <v>10</v>
      </c>
      <c r="E337">
        <v>15.29</v>
      </c>
    </row>
    <row r="338" spans="1:5">
      <c r="A338" t="s">
        <v>549</v>
      </c>
      <c r="B338" t="s">
        <v>256</v>
      </c>
      <c r="C338" s="1">
        <v>45828.343007002317</v>
      </c>
      <c r="D338" t="s">
        <v>16</v>
      </c>
      <c r="E338">
        <v>8.8800000000000008</v>
      </c>
    </row>
    <row r="339" spans="1:5">
      <c r="A339" t="s">
        <v>550</v>
      </c>
      <c r="B339" t="s">
        <v>118</v>
      </c>
      <c r="C339" s="1">
        <v>45632.343007002317</v>
      </c>
      <c r="D339" t="s">
        <v>29</v>
      </c>
      <c r="E339">
        <v>20.34</v>
      </c>
    </row>
    <row r="340" spans="1:5">
      <c r="A340" t="s">
        <v>551</v>
      </c>
      <c r="B340" t="s">
        <v>70</v>
      </c>
      <c r="C340" s="1">
        <v>45875.343007002317</v>
      </c>
      <c r="D340" t="s">
        <v>29</v>
      </c>
      <c r="E340">
        <v>22.15</v>
      </c>
    </row>
    <row r="341" spans="1:5">
      <c r="A341" t="s">
        <v>552</v>
      </c>
      <c r="B341" t="s">
        <v>337</v>
      </c>
      <c r="C341" s="1">
        <v>45944.343007002317</v>
      </c>
      <c r="D341" t="s">
        <v>10</v>
      </c>
      <c r="E341">
        <v>14.5</v>
      </c>
    </row>
    <row r="342" spans="1:5">
      <c r="A342" t="s">
        <v>553</v>
      </c>
      <c r="B342" t="s">
        <v>64</v>
      </c>
      <c r="C342" s="1">
        <v>45897.343007002317</v>
      </c>
      <c r="D342" t="s">
        <v>16</v>
      </c>
      <c r="E342">
        <v>11.04</v>
      </c>
    </row>
    <row r="343" spans="1:5">
      <c r="A343" t="s">
        <v>554</v>
      </c>
      <c r="B343" t="s">
        <v>555</v>
      </c>
      <c r="C343" s="1">
        <v>45776.343007002317</v>
      </c>
      <c r="D343" t="s">
        <v>50</v>
      </c>
      <c r="E343">
        <v>4.38</v>
      </c>
    </row>
    <row r="344" spans="1:5">
      <c r="A344" t="s">
        <v>556</v>
      </c>
      <c r="B344" t="s">
        <v>22</v>
      </c>
      <c r="C344" s="1">
        <v>45690.343007002317</v>
      </c>
      <c r="D344" t="s">
        <v>16</v>
      </c>
      <c r="E344">
        <v>10.88</v>
      </c>
    </row>
    <row r="345" spans="1:5">
      <c r="A345" t="s">
        <v>557</v>
      </c>
      <c r="B345" t="s">
        <v>558</v>
      </c>
      <c r="C345" s="1">
        <v>45694.343007002317</v>
      </c>
      <c r="D345" t="s">
        <v>7</v>
      </c>
      <c r="E345">
        <v>45.87</v>
      </c>
    </row>
    <row r="346" spans="1:5">
      <c r="A346" t="s">
        <v>559</v>
      </c>
      <c r="B346" t="s">
        <v>560</v>
      </c>
      <c r="C346" s="1">
        <v>45783.343007002317</v>
      </c>
      <c r="D346" t="s">
        <v>13</v>
      </c>
      <c r="E346">
        <v>11.78</v>
      </c>
    </row>
    <row r="347" spans="1:5">
      <c r="A347" t="s">
        <v>561</v>
      </c>
      <c r="B347" t="s">
        <v>562</v>
      </c>
      <c r="C347" s="1">
        <v>45711.343007002317</v>
      </c>
      <c r="D347" t="s">
        <v>50</v>
      </c>
      <c r="E347">
        <v>5.64</v>
      </c>
    </row>
    <row r="348" spans="1:5">
      <c r="A348" t="s">
        <v>563</v>
      </c>
      <c r="B348" t="s">
        <v>33</v>
      </c>
      <c r="C348" s="1">
        <v>45786.343007002317</v>
      </c>
      <c r="D348" t="s">
        <v>29</v>
      </c>
      <c r="E348">
        <v>25.55</v>
      </c>
    </row>
    <row r="349" spans="1:5">
      <c r="A349" t="s">
        <v>564</v>
      </c>
      <c r="B349" t="s">
        <v>565</v>
      </c>
      <c r="C349" s="1">
        <v>45848.343007002317</v>
      </c>
      <c r="D349" t="s">
        <v>50</v>
      </c>
      <c r="E349">
        <v>5.27</v>
      </c>
    </row>
    <row r="350" spans="1:5">
      <c r="A350" t="s">
        <v>566</v>
      </c>
      <c r="B350" t="s">
        <v>264</v>
      </c>
      <c r="C350" s="1">
        <v>45756.343007002317</v>
      </c>
      <c r="D350" t="s">
        <v>29</v>
      </c>
      <c r="E350">
        <v>25.26</v>
      </c>
    </row>
    <row r="351" spans="1:5">
      <c r="A351" t="s">
        <v>567</v>
      </c>
      <c r="B351" t="s">
        <v>568</v>
      </c>
      <c r="C351" s="1">
        <v>45851.343007002317</v>
      </c>
      <c r="D351" t="s">
        <v>29</v>
      </c>
      <c r="E351">
        <v>24.63</v>
      </c>
    </row>
    <row r="352" spans="1:5">
      <c r="A352" t="s">
        <v>569</v>
      </c>
      <c r="B352" t="s">
        <v>560</v>
      </c>
      <c r="C352" s="1">
        <v>45918.343007002317</v>
      </c>
      <c r="D352" t="s">
        <v>50</v>
      </c>
      <c r="E352">
        <v>4.47</v>
      </c>
    </row>
    <row r="353" spans="1:5">
      <c r="A353" t="s">
        <v>570</v>
      </c>
      <c r="B353" t="s">
        <v>571</v>
      </c>
      <c r="C353" s="1">
        <v>45723.343007002317</v>
      </c>
      <c r="D353" t="s">
        <v>29</v>
      </c>
      <c r="E353">
        <v>23.03</v>
      </c>
    </row>
    <row r="354" spans="1:5">
      <c r="A354" t="s">
        <v>572</v>
      </c>
      <c r="B354" t="s">
        <v>161</v>
      </c>
      <c r="C354" s="1">
        <v>45613.343007002317</v>
      </c>
      <c r="D354" t="s">
        <v>29</v>
      </c>
      <c r="E354">
        <v>22.9</v>
      </c>
    </row>
    <row r="355" spans="1:5">
      <c r="A355" t="s">
        <v>573</v>
      </c>
      <c r="B355" t="s">
        <v>334</v>
      </c>
      <c r="C355" s="1">
        <v>45876.343007002317</v>
      </c>
      <c r="D355" t="s">
        <v>7</v>
      </c>
      <c r="E355">
        <v>41.01</v>
      </c>
    </row>
    <row r="356" spans="1:5">
      <c r="A356" t="s">
        <v>574</v>
      </c>
      <c r="B356" t="s">
        <v>243</v>
      </c>
      <c r="C356" s="1">
        <v>45818.343007002317</v>
      </c>
      <c r="D356" t="s">
        <v>16</v>
      </c>
      <c r="E356">
        <v>8.48</v>
      </c>
    </row>
    <row r="357" spans="1:5">
      <c r="A357" t="s">
        <v>575</v>
      </c>
      <c r="B357" t="s">
        <v>424</v>
      </c>
      <c r="C357" s="1">
        <v>45649.343007002317</v>
      </c>
      <c r="D357" t="s">
        <v>16</v>
      </c>
      <c r="E357">
        <v>11.67</v>
      </c>
    </row>
    <row r="358" spans="1:5">
      <c r="A358" t="s">
        <v>576</v>
      </c>
      <c r="B358" t="s">
        <v>303</v>
      </c>
      <c r="C358" s="1">
        <v>45653.343007002317</v>
      </c>
      <c r="D358" t="s">
        <v>13</v>
      </c>
      <c r="E358">
        <v>13.06</v>
      </c>
    </row>
    <row r="359" spans="1:5">
      <c r="A359" t="s">
        <v>577</v>
      </c>
      <c r="B359" t="s">
        <v>120</v>
      </c>
      <c r="C359" s="1">
        <v>45918.343007002317</v>
      </c>
      <c r="D359" t="s">
        <v>13</v>
      </c>
      <c r="E359">
        <v>11.53</v>
      </c>
    </row>
    <row r="360" spans="1:5">
      <c r="A360" t="s">
        <v>578</v>
      </c>
      <c r="B360" t="s">
        <v>197</v>
      </c>
      <c r="C360" s="1">
        <v>45955.343007002317</v>
      </c>
      <c r="D360" t="s">
        <v>7</v>
      </c>
      <c r="E360">
        <v>34.54</v>
      </c>
    </row>
    <row r="361" spans="1:5">
      <c r="A361" t="s">
        <v>579</v>
      </c>
      <c r="B361" t="s">
        <v>256</v>
      </c>
      <c r="C361" s="1">
        <v>45769.343007002317</v>
      </c>
      <c r="D361" t="s">
        <v>13</v>
      </c>
      <c r="E361">
        <v>13.83</v>
      </c>
    </row>
    <row r="362" spans="1:5">
      <c r="A362" t="s">
        <v>580</v>
      </c>
      <c r="B362" t="s">
        <v>84</v>
      </c>
      <c r="C362" s="1">
        <v>45875.343007002317</v>
      </c>
      <c r="D362" t="s">
        <v>50</v>
      </c>
      <c r="E362">
        <v>5.65</v>
      </c>
    </row>
    <row r="363" spans="1:5">
      <c r="A363" t="s">
        <v>581</v>
      </c>
      <c r="B363" t="s">
        <v>487</v>
      </c>
      <c r="C363" s="1">
        <v>45709.343007002317</v>
      </c>
      <c r="D363" t="s">
        <v>10</v>
      </c>
      <c r="E363">
        <v>16.329999999999998</v>
      </c>
    </row>
    <row r="364" spans="1:5">
      <c r="A364" t="s">
        <v>582</v>
      </c>
      <c r="B364" t="s">
        <v>108</v>
      </c>
      <c r="C364" s="1">
        <v>45883.343007002317</v>
      </c>
      <c r="D364" t="s">
        <v>10</v>
      </c>
      <c r="E364">
        <v>13.63</v>
      </c>
    </row>
    <row r="365" spans="1:5">
      <c r="A365" t="s">
        <v>583</v>
      </c>
      <c r="B365" t="s">
        <v>429</v>
      </c>
      <c r="C365" s="1">
        <v>45937.343007002317</v>
      </c>
      <c r="D365" t="s">
        <v>10</v>
      </c>
      <c r="E365">
        <v>14.41</v>
      </c>
    </row>
    <row r="366" spans="1:5">
      <c r="A366" t="s">
        <v>584</v>
      </c>
      <c r="B366" t="s">
        <v>585</v>
      </c>
      <c r="C366" s="1">
        <v>45746.343007002317</v>
      </c>
      <c r="D366" t="s">
        <v>7</v>
      </c>
      <c r="E366">
        <v>33.64</v>
      </c>
    </row>
    <row r="367" spans="1:5">
      <c r="A367" t="s">
        <v>586</v>
      </c>
      <c r="B367" t="s">
        <v>171</v>
      </c>
      <c r="C367" s="1">
        <v>45722.343007002317</v>
      </c>
      <c r="D367" t="s">
        <v>7</v>
      </c>
      <c r="E367">
        <v>35.020000000000003</v>
      </c>
    </row>
    <row r="368" spans="1:5">
      <c r="A368" t="s">
        <v>587</v>
      </c>
      <c r="B368" t="s">
        <v>98</v>
      </c>
      <c r="C368" s="1">
        <v>45750.343007002317</v>
      </c>
      <c r="D368" t="s">
        <v>29</v>
      </c>
      <c r="E368">
        <v>27.83</v>
      </c>
    </row>
    <row r="369" spans="1:5">
      <c r="A369" t="s">
        <v>588</v>
      </c>
      <c r="B369" t="s">
        <v>340</v>
      </c>
      <c r="C369" s="1">
        <v>45868.343007002317</v>
      </c>
      <c r="D369" t="s">
        <v>10</v>
      </c>
      <c r="E369">
        <v>16.29</v>
      </c>
    </row>
    <row r="370" spans="1:5">
      <c r="A370" t="s">
        <v>589</v>
      </c>
      <c r="B370" t="s">
        <v>590</v>
      </c>
      <c r="C370" s="1">
        <v>45699.343007002317</v>
      </c>
      <c r="D370" t="s">
        <v>50</v>
      </c>
      <c r="E370">
        <v>5.19</v>
      </c>
    </row>
    <row r="371" spans="1:5">
      <c r="A371" t="s">
        <v>591</v>
      </c>
      <c r="B371" t="s">
        <v>592</v>
      </c>
      <c r="C371" s="1">
        <v>45894.343007002317</v>
      </c>
      <c r="D371" t="s">
        <v>13</v>
      </c>
      <c r="E371">
        <v>13.9</v>
      </c>
    </row>
    <row r="372" spans="1:5">
      <c r="A372" t="s">
        <v>593</v>
      </c>
      <c r="B372" t="s">
        <v>183</v>
      </c>
      <c r="C372" s="1">
        <v>45841.343007002317</v>
      </c>
      <c r="D372" t="s">
        <v>50</v>
      </c>
      <c r="E372">
        <v>5.17</v>
      </c>
    </row>
    <row r="373" spans="1:5">
      <c r="A373" t="s">
        <v>594</v>
      </c>
      <c r="B373" t="s">
        <v>147</v>
      </c>
      <c r="C373" s="1">
        <v>45771.343007002317</v>
      </c>
      <c r="D373" t="s">
        <v>13</v>
      </c>
      <c r="E373">
        <v>11.84</v>
      </c>
    </row>
    <row r="374" spans="1:5">
      <c r="A374" t="s">
        <v>595</v>
      </c>
      <c r="B374" t="s">
        <v>528</v>
      </c>
      <c r="C374" s="1">
        <v>45634.343007002317</v>
      </c>
      <c r="D374" t="s">
        <v>10</v>
      </c>
      <c r="E374">
        <v>14.04</v>
      </c>
    </row>
    <row r="375" spans="1:5">
      <c r="A375" t="s">
        <v>596</v>
      </c>
      <c r="B375" t="s">
        <v>66</v>
      </c>
      <c r="C375" s="1">
        <v>45765.343007002317</v>
      </c>
      <c r="D375" t="s">
        <v>10</v>
      </c>
      <c r="E375">
        <v>17.64</v>
      </c>
    </row>
    <row r="376" spans="1:5">
      <c r="A376" t="s">
        <v>597</v>
      </c>
      <c r="B376" t="s">
        <v>248</v>
      </c>
      <c r="C376" s="1">
        <v>45842.343007002317</v>
      </c>
      <c r="D376" t="s">
        <v>10</v>
      </c>
      <c r="E376">
        <v>12.5</v>
      </c>
    </row>
    <row r="377" spans="1:5">
      <c r="A377" t="s">
        <v>598</v>
      </c>
      <c r="B377" t="s">
        <v>380</v>
      </c>
      <c r="C377" s="1">
        <v>45621.343007002317</v>
      </c>
      <c r="D377" t="s">
        <v>7</v>
      </c>
      <c r="E377">
        <v>46.89</v>
      </c>
    </row>
    <row r="378" spans="1:5">
      <c r="A378" t="s">
        <v>599</v>
      </c>
      <c r="B378" t="s">
        <v>49</v>
      </c>
      <c r="C378" s="1">
        <v>45950.343007002317</v>
      </c>
      <c r="D378" t="s">
        <v>13</v>
      </c>
      <c r="E378">
        <v>13.57</v>
      </c>
    </row>
    <row r="379" spans="1:5">
      <c r="A379" t="s">
        <v>600</v>
      </c>
      <c r="B379" t="s">
        <v>601</v>
      </c>
      <c r="C379" s="1">
        <v>45901.343007002317</v>
      </c>
      <c r="D379" t="s">
        <v>7</v>
      </c>
      <c r="E379">
        <v>34.08</v>
      </c>
    </row>
    <row r="380" spans="1:5">
      <c r="A380" t="s">
        <v>602</v>
      </c>
      <c r="B380" t="s">
        <v>303</v>
      </c>
      <c r="C380" s="1">
        <v>45608.343007002317</v>
      </c>
      <c r="D380" t="s">
        <v>7</v>
      </c>
      <c r="E380">
        <v>41.04</v>
      </c>
    </row>
    <row r="381" spans="1:5">
      <c r="A381" t="s">
        <v>603</v>
      </c>
      <c r="B381" t="s">
        <v>398</v>
      </c>
      <c r="C381" s="1">
        <v>45911.343007002317</v>
      </c>
      <c r="D381" t="s">
        <v>16</v>
      </c>
      <c r="E381">
        <v>11.47</v>
      </c>
    </row>
    <row r="382" spans="1:5">
      <c r="A382" t="s">
        <v>604</v>
      </c>
      <c r="B382" t="s">
        <v>378</v>
      </c>
      <c r="C382" s="1">
        <v>45908.343007002317</v>
      </c>
      <c r="D382" t="s">
        <v>50</v>
      </c>
      <c r="E382">
        <v>5.14</v>
      </c>
    </row>
    <row r="383" spans="1:5">
      <c r="A383" t="s">
        <v>605</v>
      </c>
      <c r="B383" t="s">
        <v>606</v>
      </c>
      <c r="C383" s="1">
        <v>45631.343007002317</v>
      </c>
      <c r="D383" t="s">
        <v>50</v>
      </c>
      <c r="E383">
        <v>5.81</v>
      </c>
    </row>
    <row r="384" spans="1:5">
      <c r="A384" t="s">
        <v>607</v>
      </c>
      <c r="B384" t="s">
        <v>35</v>
      </c>
      <c r="C384" s="1">
        <v>45768.343007002317</v>
      </c>
      <c r="D384" t="s">
        <v>29</v>
      </c>
      <c r="E384">
        <v>29.43</v>
      </c>
    </row>
    <row r="385" spans="1:5">
      <c r="A385" t="s">
        <v>608</v>
      </c>
      <c r="B385" t="s">
        <v>96</v>
      </c>
      <c r="C385" s="1">
        <v>45615.343007002317</v>
      </c>
      <c r="D385" t="s">
        <v>7</v>
      </c>
      <c r="E385">
        <v>38.76</v>
      </c>
    </row>
    <row r="386" spans="1:5">
      <c r="A386" t="s">
        <v>609</v>
      </c>
      <c r="B386" t="s">
        <v>157</v>
      </c>
      <c r="C386" s="1">
        <v>45916.343007002317</v>
      </c>
      <c r="D386" t="s">
        <v>13</v>
      </c>
      <c r="E386">
        <v>11.41</v>
      </c>
    </row>
    <row r="387" spans="1:5">
      <c r="A387" t="s">
        <v>610</v>
      </c>
      <c r="B387" t="s">
        <v>272</v>
      </c>
      <c r="C387" s="1">
        <v>45859.343007002317</v>
      </c>
      <c r="D387" t="s">
        <v>16</v>
      </c>
      <c r="E387">
        <v>11.75</v>
      </c>
    </row>
    <row r="388" spans="1:5">
      <c r="A388" t="s">
        <v>611</v>
      </c>
      <c r="B388" t="s">
        <v>555</v>
      </c>
      <c r="C388" s="1">
        <v>45737.343007002317</v>
      </c>
      <c r="D388" t="s">
        <v>16</v>
      </c>
      <c r="E388">
        <v>10.7</v>
      </c>
    </row>
    <row r="389" spans="1:5">
      <c r="A389" t="s">
        <v>612</v>
      </c>
      <c r="B389" t="s">
        <v>396</v>
      </c>
      <c r="C389" s="1">
        <v>45738.343007002317</v>
      </c>
      <c r="D389" t="s">
        <v>50</v>
      </c>
      <c r="E389">
        <v>4.2300000000000004</v>
      </c>
    </row>
    <row r="390" spans="1:5">
      <c r="A390" t="s">
        <v>613</v>
      </c>
      <c r="B390" t="s">
        <v>460</v>
      </c>
      <c r="C390" s="1">
        <v>45687.343007002317</v>
      </c>
      <c r="D390" t="s">
        <v>7</v>
      </c>
      <c r="E390">
        <v>32.68</v>
      </c>
    </row>
    <row r="391" spans="1:5">
      <c r="A391" t="s">
        <v>614</v>
      </c>
      <c r="B391" t="s">
        <v>337</v>
      </c>
      <c r="C391" s="1">
        <v>45949.343007002317</v>
      </c>
      <c r="D391" t="s">
        <v>29</v>
      </c>
      <c r="E391">
        <v>25.65</v>
      </c>
    </row>
    <row r="392" spans="1:5">
      <c r="A392" t="s">
        <v>615</v>
      </c>
      <c r="B392" t="s">
        <v>213</v>
      </c>
      <c r="C392" s="1">
        <v>45917.343007002317</v>
      </c>
      <c r="D392" t="s">
        <v>7</v>
      </c>
      <c r="E392">
        <v>46.88</v>
      </c>
    </row>
    <row r="393" spans="1:5">
      <c r="A393" t="s">
        <v>616</v>
      </c>
      <c r="B393" t="s">
        <v>209</v>
      </c>
      <c r="C393" s="1">
        <v>45883.343007002317</v>
      </c>
      <c r="D393" t="s">
        <v>10</v>
      </c>
      <c r="E393">
        <v>17.07</v>
      </c>
    </row>
    <row r="394" spans="1:5">
      <c r="A394" t="s">
        <v>617</v>
      </c>
      <c r="B394" t="s">
        <v>618</v>
      </c>
      <c r="C394" s="1">
        <v>45810.343007002317</v>
      </c>
      <c r="D394" t="s">
        <v>7</v>
      </c>
      <c r="E394">
        <v>42.81</v>
      </c>
    </row>
    <row r="395" spans="1:5">
      <c r="A395" t="s">
        <v>619</v>
      </c>
      <c r="B395" t="s">
        <v>118</v>
      </c>
      <c r="C395" s="1">
        <v>45937.343007002317</v>
      </c>
      <c r="D395" t="s">
        <v>10</v>
      </c>
      <c r="E395">
        <v>12.83</v>
      </c>
    </row>
    <row r="396" spans="1:5">
      <c r="A396" t="s">
        <v>620</v>
      </c>
      <c r="B396" t="s">
        <v>128</v>
      </c>
      <c r="C396" s="1">
        <v>45646.343007002317</v>
      </c>
      <c r="D396" t="s">
        <v>10</v>
      </c>
      <c r="E396">
        <v>13.53</v>
      </c>
    </row>
    <row r="397" spans="1:5">
      <c r="A397" t="s">
        <v>621</v>
      </c>
      <c r="B397" t="s">
        <v>454</v>
      </c>
      <c r="C397" s="1">
        <v>45748.343007002317</v>
      </c>
      <c r="D397" t="s">
        <v>29</v>
      </c>
      <c r="E397">
        <v>28.76</v>
      </c>
    </row>
    <row r="398" spans="1:5">
      <c r="A398" t="s">
        <v>622</v>
      </c>
      <c r="B398" t="s">
        <v>205</v>
      </c>
      <c r="C398" s="1">
        <v>45781.343007002317</v>
      </c>
      <c r="D398" t="s">
        <v>13</v>
      </c>
      <c r="E398">
        <v>10.48</v>
      </c>
    </row>
    <row r="399" spans="1:5">
      <c r="A399" t="s">
        <v>623</v>
      </c>
      <c r="B399" t="s">
        <v>9</v>
      </c>
      <c r="C399" s="1">
        <v>45658.343007002317</v>
      </c>
      <c r="D399" t="s">
        <v>50</v>
      </c>
      <c r="E399">
        <v>4.5599999999999996</v>
      </c>
    </row>
    <row r="400" spans="1:5">
      <c r="A400" t="s">
        <v>624</v>
      </c>
      <c r="B400" t="s">
        <v>590</v>
      </c>
      <c r="C400" s="1">
        <v>45785.343007002317</v>
      </c>
      <c r="D400" t="s">
        <v>7</v>
      </c>
      <c r="E400">
        <v>34.07</v>
      </c>
    </row>
    <row r="401" spans="1:5">
      <c r="A401" t="s">
        <v>625</v>
      </c>
      <c r="B401" t="s">
        <v>555</v>
      </c>
      <c r="C401" s="1">
        <v>45720.343007002317</v>
      </c>
      <c r="D401" t="s">
        <v>10</v>
      </c>
      <c r="E401">
        <v>16.059999999999999</v>
      </c>
    </row>
    <row r="402" spans="1:5">
      <c r="A402" t="s">
        <v>626</v>
      </c>
      <c r="B402" t="s">
        <v>519</v>
      </c>
      <c r="C402" s="1">
        <v>45745.343007002317</v>
      </c>
      <c r="D402" t="s">
        <v>7</v>
      </c>
      <c r="E402">
        <v>47.1</v>
      </c>
    </row>
    <row r="403" spans="1:5">
      <c r="A403" t="s">
        <v>627</v>
      </c>
      <c r="B403" t="s">
        <v>628</v>
      </c>
      <c r="C403" s="1">
        <v>45909.343007002317</v>
      </c>
      <c r="D403" t="s">
        <v>13</v>
      </c>
      <c r="E403">
        <v>10.89</v>
      </c>
    </row>
    <row r="404" spans="1:5">
      <c r="A404" t="s">
        <v>629</v>
      </c>
      <c r="B404" t="s">
        <v>471</v>
      </c>
      <c r="C404" s="1">
        <v>45653.343007002317</v>
      </c>
      <c r="D404" t="s">
        <v>50</v>
      </c>
      <c r="E404">
        <v>4.95</v>
      </c>
    </row>
    <row r="405" spans="1:5">
      <c r="A405" t="s">
        <v>630</v>
      </c>
      <c r="B405" t="s">
        <v>268</v>
      </c>
      <c r="C405" s="1">
        <v>45937.343007002317</v>
      </c>
      <c r="D405" t="s">
        <v>13</v>
      </c>
      <c r="E405">
        <v>12.64</v>
      </c>
    </row>
    <row r="406" spans="1:5">
      <c r="A406" t="s">
        <v>631</v>
      </c>
      <c r="B406" t="s">
        <v>351</v>
      </c>
      <c r="C406" s="1">
        <v>45900.343007002317</v>
      </c>
      <c r="D406" t="s">
        <v>50</v>
      </c>
      <c r="E406">
        <v>6</v>
      </c>
    </row>
    <row r="407" spans="1:5">
      <c r="A407" t="s">
        <v>632</v>
      </c>
      <c r="B407" t="s">
        <v>633</v>
      </c>
      <c r="C407" s="1">
        <v>45775.343007002317</v>
      </c>
      <c r="D407" t="s">
        <v>16</v>
      </c>
      <c r="E407">
        <v>8.42</v>
      </c>
    </row>
    <row r="408" spans="1:5">
      <c r="A408" t="s">
        <v>634</v>
      </c>
      <c r="B408" t="s">
        <v>202</v>
      </c>
      <c r="C408" s="1">
        <v>45765.343007002317</v>
      </c>
      <c r="D408" t="s">
        <v>50</v>
      </c>
      <c r="E408">
        <v>5</v>
      </c>
    </row>
    <row r="409" spans="1:5">
      <c r="A409" t="s">
        <v>635</v>
      </c>
      <c r="B409" t="s">
        <v>636</v>
      </c>
      <c r="C409" s="1">
        <v>45921.343007002317</v>
      </c>
      <c r="D409" t="s">
        <v>29</v>
      </c>
      <c r="E409">
        <v>23.85</v>
      </c>
    </row>
    <row r="410" spans="1:5">
      <c r="A410" t="s">
        <v>637</v>
      </c>
      <c r="B410" t="s">
        <v>368</v>
      </c>
      <c r="C410" s="1">
        <v>45866.343007002317</v>
      </c>
      <c r="D410" t="s">
        <v>13</v>
      </c>
      <c r="E410">
        <v>13.76</v>
      </c>
    </row>
    <row r="411" spans="1:5">
      <c r="A411" t="s">
        <v>638</v>
      </c>
      <c r="B411" t="s">
        <v>519</v>
      </c>
      <c r="C411" s="1">
        <v>45649.343007002317</v>
      </c>
      <c r="D411" t="s">
        <v>10</v>
      </c>
      <c r="E411">
        <v>14.86</v>
      </c>
    </row>
    <row r="412" spans="1:5">
      <c r="A412" t="s">
        <v>639</v>
      </c>
      <c r="B412" t="s">
        <v>118</v>
      </c>
      <c r="C412" s="1">
        <v>45696.343007002317</v>
      </c>
      <c r="D412" t="s">
        <v>16</v>
      </c>
      <c r="E412">
        <v>8.44</v>
      </c>
    </row>
    <row r="413" spans="1:5">
      <c r="A413" t="s">
        <v>640</v>
      </c>
      <c r="B413" t="s">
        <v>225</v>
      </c>
      <c r="C413" s="1">
        <v>45859.343007002317</v>
      </c>
      <c r="D413" t="s">
        <v>29</v>
      </c>
      <c r="E413">
        <v>26.34</v>
      </c>
    </row>
    <row r="414" spans="1:5">
      <c r="A414" t="s">
        <v>641</v>
      </c>
      <c r="B414" t="s">
        <v>642</v>
      </c>
      <c r="C414" s="1">
        <v>45648.343007002317</v>
      </c>
      <c r="D414" t="s">
        <v>7</v>
      </c>
      <c r="E414">
        <v>44.33</v>
      </c>
    </row>
    <row r="415" spans="1:5">
      <c r="A415" t="s">
        <v>643</v>
      </c>
      <c r="B415" t="s">
        <v>47</v>
      </c>
      <c r="C415" s="1">
        <v>45655.343007002317</v>
      </c>
      <c r="D415" t="s">
        <v>13</v>
      </c>
      <c r="E415">
        <v>9.61</v>
      </c>
    </row>
    <row r="416" spans="1:5">
      <c r="A416" t="s">
        <v>644</v>
      </c>
      <c r="B416" t="s">
        <v>645</v>
      </c>
      <c r="C416" s="1">
        <v>45703.343007002317</v>
      </c>
      <c r="D416" t="s">
        <v>10</v>
      </c>
      <c r="E416">
        <v>17.149999999999999</v>
      </c>
    </row>
    <row r="417" spans="1:5">
      <c r="A417" t="s">
        <v>646</v>
      </c>
      <c r="B417" t="s">
        <v>647</v>
      </c>
      <c r="C417" s="1">
        <v>45600.343007002317</v>
      </c>
      <c r="D417" t="s">
        <v>50</v>
      </c>
      <c r="E417">
        <v>4.37</v>
      </c>
    </row>
    <row r="418" spans="1:5">
      <c r="A418" t="s">
        <v>648</v>
      </c>
      <c r="B418" t="s">
        <v>47</v>
      </c>
      <c r="C418" s="1">
        <v>45698.343007002317</v>
      </c>
      <c r="D418" t="s">
        <v>10</v>
      </c>
      <c r="E418">
        <v>15.31</v>
      </c>
    </row>
    <row r="419" spans="1:5">
      <c r="A419" t="s">
        <v>649</v>
      </c>
      <c r="B419" t="s">
        <v>359</v>
      </c>
      <c r="C419" s="1">
        <v>45791.343007002317</v>
      </c>
      <c r="D419" t="s">
        <v>7</v>
      </c>
      <c r="E419">
        <v>38.65</v>
      </c>
    </row>
    <row r="420" spans="1:5">
      <c r="A420" t="s">
        <v>650</v>
      </c>
      <c r="B420" t="s">
        <v>340</v>
      </c>
      <c r="C420" s="1">
        <v>45857.343007002317</v>
      </c>
      <c r="D420" t="s">
        <v>16</v>
      </c>
      <c r="E420">
        <v>10.88</v>
      </c>
    </row>
    <row r="421" spans="1:5">
      <c r="A421" t="s">
        <v>651</v>
      </c>
      <c r="B421" t="s">
        <v>652</v>
      </c>
      <c r="C421" s="1">
        <v>45960.343007002317</v>
      </c>
      <c r="D421" t="s">
        <v>16</v>
      </c>
      <c r="E421">
        <v>9.48</v>
      </c>
    </row>
    <row r="422" spans="1:5">
      <c r="A422" t="s">
        <v>653</v>
      </c>
      <c r="B422" t="s">
        <v>279</v>
      </c>
      <c r="C422" s="1">
        <v>45945.343007002317</v>
      </c>
      <c r="D422" t="s">
        <v>13</v>
      </c>
      <c r="E422">
        <v>13.77</v>
      </c>
    </row>
    <row r="423" spans="1:5">
      <c r="A423" t="s">
        <v>654</v>
      </c>
      <c r="B423" t="s">
        <v>655</v>
      </c>
      <c r="C423" s="1">
        <v>45642.343007002317</v>
      </c>
      <c r="D423" t="s">
        <v>16</v>
      </c>
      <c r="E423">
        <v>10.92</v>
      </c>
    </row>
    <row r="424" spans="1:5">
      <c r="A424" t="s">
        <v>656</v>
      </c>
      <c r="B424" t="s">
        <v>657</v>
      </c>
      <c r="C424" s="1">
        <v>45950.343007002317</v>
      </c>
      <c r="D424" t="s">
        <v>13</v>
      </c>
      <c r="E424">
        <v>12.71</v>
      </c>
    </row>
    <row r="425" spans="1:5">
      <c r="A425" t="s">
        <v>658</v>
      </c>
      <c r="B425" t="s">
        <v>309</v>
      </c>
      <c r="C425" s="1">
        <v>45906.343007002317</v>
      </c>
      <c r="D425" t="s">
        <v>13</v>
      </c>
      <c r="E425">
        <v>13.42</v>
      </c>
    </row>
    <row r="426" spans="1:5">
      <c r="A426" t="s">
        <v>659</v>
      </c>
      <c r="B426" t="s">
        <v>465</v>
      </c>
      <c r="C426" s="1">
        <v>45903.343007002317</v>
      </c>
      <c r="D426" t="s">
        <v>13</v>
      </c>
      <c r="E426">
        <v>13.22</v>
      </c>
    </row>
    <row r="427" spans="1:5">
      <c r="A427" t="s">
        <v>660</v>
      </c>
      <c r="B427" t="s">
        <v>213</v>
      </c>
      <c r="C427" s="1">
        <v>45739.343007002317</v>
      </c>
      <c r="D427" t="s">
        <v>50</v>
      </c>
      <c r="E427">
        <v>4.07</v>
      </c>
    </row>
    <row r="428" spans="1:5">
      <c r="A428" t="s">
        <v>661</v>
      </c>
      <c r="B428" t="s">
        <v>110</v>
      </c>
      <c r="C428" s="1">
        <v>45864.343007002317</v>
      </c>
      <c r="D428" t="s">
        <v>29</v>
      </c>
      <c r="E428">
        <v>23.95</v>
      </c>
    </row>
    <row r="429" spans="1:5">
      <c r="A429" t="s">
        <v>662</v>
      </c>
      <c r="B429" t="s">
        <v>500</v>
      </c>
      <c r="C429" s="1">
        <v>45719.343007002317</v>
      </c>
      <c r="D429" t="s">
        <v>13</v>
      </c>
      <c r="E429">
        <v>14.07</v>
      </c>
    </row>
    <row r="430" spans="1:5">
      <c r="A430" t="s">
        <v>663</v>
      </c>
      <c r="B430" t="s">
        <v>537</v>
      </c>
      <c r="C430" s="1">
        <v>45701.343007002317</v>
      </c>
      <c r="D430" t="s">
        <v>13</v>
      </c>
      <c r="E430">
        <v>10.199999999999999</v>
      </c>
    </row>
    <row r="431" spans="1:5">
      <c r="A431" t="s">
        <v>664</v>
      </c>
      <c r="B431" t="s">
        <v>665</v>
      </c>
      <c r="C431" s="1">
        <v>45753.343007002317</v>
      </c>
      <c r="D431" t="s">
        <v>29</v>
      </c>
      <c r="E431">
        <v>27.37</v>
      </c>
    </row>
    <row r="432" spans="1:5">
      <c r="A432" t="s">
        <v>666</v>
      </c>
      <c r="B432" t="s">
        <v>514</v>
      </c>
      <c r="C432" s="1">
        <v>45742.343007002317</v>
      </c>
      <c r="D432" t="s">
        <v>10</v>
      </c>
      <c r="E432">
        <v>17.850000000000001</v>
      </c>
    </row>
    <row r="433" spans="1:5">
      <c r="A433" t="s">
        <v>667</v>
      </c>
      <c r="B433" t="s">
        <v>213</v>
      </c>
      <c r="C433" s="1">
        <v>45740.343007002317</v>
      </c>
      <c r="D433" t="s">
        <v>13</v>
      </c>
      <c r="E433">
        <v>9.85</v>
      </c>
    </row>
    <row r="434" spans="1:5">
      <c r="A434" t="s">
        <v>668</v>
      </c>
      <c r="B434" t="s">
        <v>546</v>
      </c>
      <c r="C434" s="1">
        <v>45715.343007002317</v>
      </c>
      <c r="D434" t="s">
        <v>50</v>
      </c>
      <c r="E434">
        <v>5.36</v>
      </c>
    </row>
    <row r="435" spans="1:5">
      <c r="A435" t="s">
        <v>669</v>
      </c>
      <c r="B435" t="s">
        <v>120</v>
      </c>
      <c r="C435" s="1">
        <v>45914.343007002317</v>
      </c>
      <c r="D435" t="s">
        <v>16</v>
      </c>
      <c r="E435">
        <v>9.8699999999999992</v>
      </c>
    </row>
    <row r="436" spans="1:5">
      <c r="A436" t="s">
        <v>670</v>
      </c>
      <c r="B436" t="s">
        <v>92</v>
      </c>
      <c r="C436" s="1">
        <v>45870.343007002317</v>
      </c>
      <c r="D436" t="s">
        <v>16</v>
      </c>
      <c r="E436">
        <v>10.32</v>
      </c>
    </row>
    <row r="437" spans="1:5">
      <c r="A437" t="s">
        <v>671</v>
      </c>
      <c r="B437" t="s">
        <v>192</v>
      </c>
      <c r="C437" s="1">
        <v>45687.343007002317</v>
      </c>
      <c r="D437" t="s">
        <v>7</v>
      </c>
      <c r="E437">
        <v>33.369999999999997</v>
      </c>
    </row>
    <row r="438" spans="1:5">
      <c r="A438" t="s">
        <v>672</v>
      </c>
      <c r="B438" t="s">
        <v>80</v>
      </c>
      <c r="C438" s="1">
        <v>45653.343007002317</v>
      </c>
      <c r="D438" t="s">
        <v>7</v>
      </c>
      <c r="E438">
        <v>32.69</v>
      </c>
    </row>
    <row r="439" spans="1:5">
      <c r="A439" t="s">
        <v>673</v>
      </c>
      <c r="B439" t="s">
        <v>418</v>
      </c>
      <c r="C439" s="1">
        <v>45941.343007002317</v>
      </c>
      <c r="D439" t="s">
        <v>16</v>
      </c>
      <c r="E439">
        <v>10.67</v>
      </c>
    </row>
    <row r="440" spans="1:5">
      <c r="A440" t="s">
        <v>674</v>
      </c>
      <c r="B440" t="s">
        <v>110</v>
      </c>
      <c r="C440" s="1">
        <v>45824.343007002317</v>
      </c>
      <c r="D440" t="s">
        <v>16</v>
      </c>
      <c r="E440">
        <v>11.29</v>
      </c>
    </row>
    <row r="441" spans="1:5">
      <c r="A441" t="s">
        <v>675</v>
      </c>
      <c r="B441" t="s">
        <v>592</v>
      </c>
      <c r="C441" s="1">
        <v>45712.343007002317</v>
      </c>
      <c r="D441" t="s">
        <v>50</v>
      </c>
      <c r="E441">
        <v>5.56</v>
      </c>
    </row>
    <row r="442" spans="1:5">
      <c r="A442" t="s">
        <v>676</v>
      </c>
      <c r="B442" t="s">
        <v>677</v>
      </c>
      <c r="C442" s="1">
        <v>45913.343007002317</v>
      </c>
      <c r="D442" t="s">
        <v>29</v>
      </c>
      <c r="E442">
        <v>25.44</v>
      </c>
    </row>
    <row r="443" spans="1:5">
      <c r="A443" t="s">
        <v>678</v>
      </c>
      <c r="B443" t="s">
        <v>679</v>
      </c>
      <c r="C443" s="1">
        <v>45874.343007002317</v>
      </c>
      <c r="D443" t="s">
        <v>7</v>
      </c>
      <c r="E443">
        <v>33.6</v>
      </c>
    </row>
    <row r="444" spans="1:5">
      <c r="A444" t="s">
        <v>680</v>
      </c>
      <c r="B444" t="s">
        <v>429</v>
      </c>
      <c r="C444" s="1">
        <v>45722.343007002317</v>
      </c>
      <c r="D444" t="s">
        <v>29</v>
      </c>
      <c r="E444">
        <v>26.88</v>
      </c>
    </row>
    <row r="445" spans="1:5">
      <c r="A445" t="s">
        <v>681</v>
      </c>
      <c r="B445" t="s">
        <v>682</v>
      </c>
      <c r="C445" s="1">
        <v>45724.343007002317</v>
      </c>
      <c r="D445" t="s">
        <v>50</v>
      </c>
      <c r="E445">
        <v>4.4800000000000004</v>
      </c>
    </row>
    <row r="446" spans="1:5">
      <c r="A446" t="s">
        <v>683</v>
      </c>
      <c r="B446" t="s">
        <v>190</v>
      </c>
      <c r="C446" s="1">
        <v>45653.343007002317</v>
      </c>
      <c r="D446" t="s">
        <v>16</v>
      </c>
      <c r="E446">
        <v>11.64</v>
      </c>
    </row>
    <row r="447" spans="1:5">
      <c r="A447" t="s">
        <v>684</v>
      </c>
      <c r="B447" t="s">
        <v>106</v>
      </c>
      <c r="C447" s="1">
        <v>45717.343007002317</v>
      </c>
      <c r="D447" t="s">
        <v>13</v>
      </c>
      <c r="E447">
        <v>13.62</v>
      </c>
    </row>
    <row r="448" spans="1:5">
      <c r="A448" t="s">
        <v>685</v>
      </c>
      <c r="B448" t="s">
        <v>179</v>
      </c>
      <c r="C448" s="1">
        <v>45596.343007002317</v>
      </c>
      <c r="D448" t="s">
        <v>29</v>
      </c>
      <c r="E448">
        <v>27.09</v>
      </c>
    </row>
    <row r="449" spans="1:5">
      <c r="A449" t="s">
        <v>686</v>
      </c>
      <c r="B449" t="s">
        <v>687</v>
      </c>
      <c r="C449" s="1">
        <v>45834.343007002317</v>
      </c>
      <c r="D449" t="s">
        <v>16</v>
      </c>
      <c r="E449">
        <v>11.8</v>
      </c>
    </row>
    <row r="450" spans="1:5">
      <c r="A450" t="s">
        <v>688</v>
      </c>
      <c r="B450" t="s">
        <v>418</v>
      </c>
      <c r="C450" s="1">
        <v>45885.343007002317</v>
      </c>
      <c r="D450" t="s">
        <v>16</v>
      </c>
      <c r="E450">
        <v>8.1300000000000008</v>
      </c>
    </row>
    <row r="451" spans="1:5">
      <c r="A451" t="s">
        <v>689</v>
      </c>
      <c r="B451" t="s">
        <v>200</v>
      </c>
      <c r="C451" s="1">
        <v>45691.343007002317</v>
      </c>
      <c r="D451" t="s">
        <v>10</v>
      </c>
      <c r="E451">
        <v>16.420000000000002</v>
      </c>
    </row>
    <row r="452" spans="1:5">
      <c r="A452" t="s">
        <v>690</v>
      </c>
      <c r="B452" t="s">
        <v>691</v>
      </c>
      <c r="C452" s="1">
        <v>45721.343007002317</v>
      </c>
      <c r="D452" t="s">
        <v>29</v>
      </c>
      <c r="E452">
        <v>23.3</v>
      </c>
    </row>
    <row r="453" spans="1:5">
      <c r="A453" t="s">
        <v>692</v>
      </c>
      <c r="B453" t="s">
        <v>6</v>
      </c>
      <c r="C453" s="1">
        <v>45713.343007002317</v>
      </c>
      <c r="D453" t="s">
        <v>13</v>
      </c>
      <c r="E453">
        <v>13.95</v>
      </c>
    </row>
    <row r="454" spans="1:5">
      <c r="A454" t="s">
        <v>693</v>
      </c>
      <c r="B454" t="s">
        <v>694</v>
      </c>
      <c r="C454" s="1">
        <v>45643.343007002317</v>
      </c>
      <c r="D454" t="s">
        <v>29</v>
      </c>
      <c r="E454">
        <v>22.67</v>
      </c>
    </row>
    <row r="455" spans="1:5">
      <c r="A455" t="s">
        <v>695</v>
      </c>
      <c r="B455" t="s">
        <v>76</v>
      </c>
      <c r="C455" s="1">
        <v>45684.343007002317</v>
      </c>
      <c r="D455" t="s">
        <v>16</v>
      </c>
      <c r="E455">
        <v>10.9</v>
      </c>
    </row>
    <row r="456" spans="1:5">
      <c r="A456" t="s">
        <v>696</v>
      </c>
      <c r="B456" t="s">
        <v>18</v>
      </c>
      <c r="C456" s="1">
        <v>45832.343007002317</v>
      </c>
      <c r="D456" t="s">
        <v>13</v>
      </c>
      <c r="E456">
        <v>13.81</v>
      </c>
    </row>
    <row r="457" spans="1:5">
      <c r="A457" t="s">
        <v>697</v>
      </c>
      <c r="B457" t="s">
        <v>355</v>
      </c>
      <c r="C457" s="1">
        <v>45867.343007002317</v>
      </c>
      <c r="D457" t="s">
        <v>50</v>
      </c>
      <c r="E457">
        <v>4.08</v>
      </c>
    </row>
    <row r="458" spans="1:5">
      <c r="A458" t="s">
        <v>698</v>
      </c>
      <c r="B458" t="s">
        <v>171</v>
      </c>
      <c r="C458" s="1">
        <v>45784.343007002317</v>
      </c>
      <c r="D458" t="s">
        <v>10</v>
      </c>
      <c r="E458">
        <v>14.39</v>
      </c>
    </row>
    <row r="459" spans="1:5">
      <c r="A459" t="s">
        <v>699</v>
      </c>
      <c r="B459" t="s">
        <v>303</v>
      </c>
      <c r="C459" s="1">
        <v>45787.343007002317</v>
      </c>
      <c r="D459" t="s">
        <v>16</v>
      </c>
      <c r="E459">
        <v>11.05</v>
      </c>
    </row>
    <row r="460" spans="1:5">
      <c r="A460" t="s">
        <v>700</v>
      </c>
      <c r="B460" t="s">
        <v>279</v>
      </c>
      <c r="C460" s="1">
        <v>45664.343007002317</v>
      </c>
      <c r="D460" t="s">
        <v>7</v>
      </c>
      <c r="E460">
        <v>39.28</v>
      </c>
    </row>
    <row r="461" spans="1:5">
      <c r="A461" t="s">
        <v>701</v>
      </c>
      <c r="B461" t="s">
        <v>439</v>
      </c>
      <c r="C461" s="1">
        <v>45873.343007002317</v>
      </c>
      <c r="D461" t="s">
        <v>7</v>
      </c>
      <c r="E461">
        <v>36.28</v>
      </c>
    </row>
    <row r="462" spans="1:5">
      <c r="A462" t="s">
        <v>702</v>
      </c>
      <c r="B462" t="s">
        <v>703</v>
      </c>
      <c r="C462" s="1">
        <v>45944.343007002317</v>
      </c>
      <c r="D462" t="s">
        <v>10</v>
      </c>
      <c r="E462">
        <v>13.32</v>
      </c>
    </row>
    <row r="463" spans="1:5">
      <c r="A463" t="s">
        <v>704</v>
      </c>
      <c r="B463" t="s">
        <v>411</v>
      </c>
      <c r="C463" s="1">
        <v>45842.343007002317</v>
      </c>
      <c r="D463" t="s">
        <v>50</v>
      </c>
      <c r="E463">
        <v>4.26</v>
      </c>
    </row>
    <row r="464" spans="1:5">
      <c r="A464" t="s">
        <v>705</v>
      </c>
      <c r="B464" t="s">
        <v>691</v>
      </c>
      <c r="C464" s="1">
        <v>45671.343007002317</v>
      </c>
      <c r="D464" t="s">
        <v>16</v>
      </c>
      <c r="E464">
        <v>11.43</v>
      </c>
    </row>
    <row r="465" spans="1:5">
      <c r="A465" t="s">
        <v>706</v>
      </c>
      <c r="B465" t="s">
        <v>546</v>
      </c>
      <c r="C465" s="1">
        <v>45749.343007002317</v>
      </c>
      <c r="D465" t="s">
        <v>29</v>
      </c>
      <c r="E465">
        <v>25.75</v>
      </c>
    </row>
    <row r="466" spans="1:5">
      <c r="A466" t="s">
        <v>707</v>
      </c>
      <c r="B466" t="s">
        <v>12</v>
      </c>
      <c r="C466" s="1">
        <v>45739.343007002317</v>
      </c>
      <c r="D466" t="s">
        <v>10</v>
      </c>
      <c r="E466">
        <v>12.46</v>
      </c>
    </row>
    <row r="467" spans="1:5">
      <c r="A467" t="s">
        <v>708</v>
      </c>
      <c r="B467" t="s">
        <v>80</v>
      </c>
      <c r="C467" s="1">
        <v>45681.343007002317</v>
      </c>
      <c r="D467" t="s">
        <v>50</v>
      </c>
      <c r="E467">
        <v>4.7699999999999996</v>
      </c>
    </row>
    <row r="468" spans="1:5">
      <c r="A468" t="s">
        <v>709</v>
      </c>
      <c r="B468" t="s">
        <v>112</v>
      </c>
      <c r="C468" s="1">
        <v>45780.343007002317</v>
      </c>
      <c r="D468" t="s">
        <v>29</v>
      </c>
      <c r="E468">
        <v>23.68</v>
      </c>
    </row>
    <row r="469" spans="1:5">
      <c r="A469" t="s">
        <v>710</v>
      </c>
      <c r="B469" t="s">
        <v>161</v>
      </c>
      <c r="C469" s="1">
        <v>45880.343007002317</v>
      </c>
      <c r="D469" t="s">
        <v>7</v>
      </c>
      <c r="E469">
        <v>34.909999999999997</v>
      </c>
    </row>
    <row r="470" spans="1:5">
      <c r="A470" t="s">
        <v>711</v>
      </c>
      <c r="B470" t="s">
        <v>655</v>
      </c>
      <c r="C470" s="1">
        <v>45815.343007002317</v>
      </c>
      <c r="D470" t="s">
        <v>7</v>
      </c>
      <c r="E470">
        <v>38.97</v>
      </c>
    </row>
    <row r="471" spans="1:5">
      <c r="A471" t="s">
        <v>712</v>
      </c>
      <c r="B471" t="s">
        <v>713</v>
      </c>
      <c r="C471" s="1">
        <v>45664.343007002317</v>
      </c>
      <c r="D471" t="s">
        <v>29</v>
      </c>
      <c r="E471">
        <v>23.32</v>
      </c>
    </row>
    <row r="472" spans="1:5">
      <c r="A472" t="s">
        <v>714</v>
      </c>
      <c r="B472" t="s">
        <v>519</v>
      </c>
      <c r="C472" s="1">
        <v>45642.343007002317</v>
      </c>
      <c r="D472" t="s">
        <v>10</v>
      </c>
      <c r="E472">
        <v>14.05</v>
      </c>
    </row>
    <row r="473" spans="1:5">
      <c r="A473" t="s">
        <v>715</v>
      </c>
      <c r="B473" t="s">
        <v>633</v>
      </c>
      <c r="C473" s="1">
        <v>45689.343007002317</v>
      </c>
      <c r="D473" t="s">
        <v>7</v>
      </c>
      <c r="E473">
        <v>43.82</v>
      </c>
    </row>
    <row r="474" spans="1:5">
      <c r="A474" t="s">
        <v>716</v>
      </c>
      <c r="B474" t="s">
        <v>374</v>
      </c>
      <c r="C474" s="1">
        <v>45833.343007002317</v>
      </c>
      <c r="D474" t="s">
        <v>16</v>
      </c>
      <c r="E474">
        <v>8.89</v>
      </c>
    </row>
    <row r="475" spans="1:5">
      <c r="A475" t="s">
        <v>717</v>
      </c>
      <c r="B475" t="s">
        <v>84</v>
      </c>
      <c r="C475" s="1">
        <v>45799.343007002317</v>
      </c>
      <c r="D475" t="s">
        <v>13</v>
      </c>
      <c r="E475">
        <v>12.68</v>
      </c>
    </row>
    <row r="476" spans="1:5">
      <c r="A476" t="s">
        <v>718</v>
      </c>
      <c r="B476" t="s">
        <v>719</v>
      </c>
      <c r="C476" s="1">
        <v>45813.343007002317</v>
      </c>
      <c r="D476" t="s">
        <v>29</v>
      </c>
      <c r="E476">
        <v>25.71</v>
      </c>
    </row>
    <row r="477" spans="1:5">
      <c r="A477" t="s">
        <v>720</v>
      </c>
      <c r="B477" t="s">
        <v>460</v>
      </c>
      <c r="C477" s="1">
        <v>45936.343007002317</v>
      </c>
      <c r="D477" t="s">
        <v>29</v>
      </c>
      <c r="E477">
        <v>25.68</v>
      </c>
    </row>
    <row r="478" spans="1:5">
      <c r="A478" t="s">
        <v>721</v>
      </c>
      <c r="B478" t="s">
        <v>62</v>
      </c>
      <c r="C478" s="1">
        <v>45634.343007002317</v>
      </c>
      <c r="D478" t="s">
        <v>7</v>
      </c>
      <c r="E478">
        <v>42.61</v>
      </c>
    </row>
    <row r="479" spans="1:5">
      <c r="A479" t="s">
        <v>722</v>
      </c>
      <c r="B479" t="s">
        <v>723</v>
      </c>
      <c r="C479" s="1">
        <v>45695.343007002317</v>
      </c>
      <c r="D479" t="s">
        <v>10</v>
      </c>
      <c r="E479">
        <v>15.29</v>
      </c>
    </row>
    <row r="480" spans="1:5">
      <c r="A480" t="s">
        <v>724</v>
      </c>
      <c r="B480" t="s">
        <v>151</v>
      </c>
      <c r="C480" s="1">
        <v>45884.343007002317</v>
      </c>
      <c r="D480" t="s">
        <v>16</v>
      </c>
      <c r="E480">
        <v>11.52</v>
      </c>
    </row>
    <row r="481" spans="1:5">
      <c r="A481" t="s">
        <v>725</v>
      </c>
      <c r="B481" t="s">
        <v>225</v>
      </c>
      <c r="C481" s="1">
        <v>45849.343007002317</v>
      </c>
      <c r="D481" t="s">
        <v>10</v>
      </c>
      <c r="E481">
        <v>16.05</v>
      </c>
    </row>
    <row r="482" spans="1:5">
      <c r="A482" t="s">
        <v>726</v>
      </c>
      <c r="B482" t="s">
        <v>49</v>
      </c>
      <c r="C482" s="1">
        <v>45817.343007002317</v>
      </c>
      <c r="D482" t="s">
        <v>50</v>
      </c>
      <c r="E482">
        <v>5.09</v>
      </c>
    </row>
    <row r="483" spans="1:5">
      <c r="A483" t="s">
        <v>727</v>
      </c>
      <c r="B483" t="s">
        <v>407</v>
      </c>
      <c r="C483" s="1">
        <v>45952.343007002317</v>
      </c>
      <c r="D483" t="s">
        <v>50</v>
      </c>
      <c r="E483">
        <v>5.66</v>
      </c>
    </row>
    <row r="484" spans="1:5">
      <c r="A484" t="s">
        <v>728</v>
      </c>
      <c r="B484" t="s">
        <v>418</v>
      </c>
      <c r="C484" s="1">
        <v>45618.343007002317</v>
      </c>
      <c r="D484" t="s">
        <v>13</v>
      </c>
      <c r="E484">
        <v>12.51</v>
      </c>
    </row>
    <row r="485" spans="1:5">
      <c r="A485" t="s">
        <v>729</v>
      </c>
      <c r="B485" t="s">
        <v>628</v>
      </c>
      <c r="C485" s="1">
        <v>45845.343007002317</v>
      </c>
      <c r="D485" t="s">
        <v>7</v>
      </c>
      <c r="E485">
        <v>36.659999999999997</v>
      </c>
    </row>
    <row r="486" spans="1:5">
      <c r="A486" t="s">
        <v>730</v>
      </c>
      <c r="B486" t="s">
        <v>439</v>
      </c>
      <c r="C486" s="1">
        <v>45605.343007002317</v>
      </c>
      <c r="D486" t="s">
        <v>7</v>
      </c>
      <c r="E486">
        <v>35.31</v>
      </c>
    </row>
    <row r="487" spans="1:5">
      <c r="A487" t="s">
        <v>731</v>
      </c>
      <c r="B487" t="s">
        <v>441</v>
      </c>
      <c r="C487" s="1">
        <v>45841.343007002317</v>
      </c>
      <c r="D487" t="s">
        <v>7</v>
      </c>
      <c r="E487">
        <v>34.44</v>
      </c>
    </row>
    <row r="488" spans="1:5">
      <c r="A488" t="s">
        <v>732</v>
      </c>
      <c r="B488" t="s">
        <v>256</v>
      </c>
      <c r="C488" s="1">
        <v>45920.343007002317</v>
      </c>
      <c r="D488" t="s">
        <v>13</v>
      </c>
      <c r="E488">
        <v>13.92</v>
      </c>
    </row>
    <row r="489" spans="1:5">
      <c r="A489" t="s">
        <v>733</v>
      </c>
      <c r="B489" t="s">
        <v>18</v>
      </c>
      <c r="C489" s="1">
        <v>45695.343007002317</v>
      </c>
      <c r="D489" t="s">
        <v>50</v>
      </c>
      <c r="E489">
        <v>5.42</v>
      </c>
    </row>
    <row r="490" spans="1:5">
      <c r="A490" t="s">
        <v>734</v>
      </c>
      <c r="B490" t="s">
        <v>418</v>
      </c>
      <c r="C490" s="1">
        <v>45885.343007002317</v>
      </c>
      <c r="D490" t="s">
        <v>10</v>
      </c>
      <c r="E490">
        <v>17.62</v>
      </c>
    </row>
    <row r="491" spans="1:5">
      <c r="A491" t="s">
        <v>735</v>
      </c>
      <c r="B491" t="s">
        <v>736</v>
      </c>
      <c r="C491" s="1">
        <v>45775.343007002317</v>
      </c>
      <c r="D491" t="s">
        <v>13</v>
      </c>
      <c r="E491">
        <v>12.5</v>
      </c>
    </row>
    <row r="492" spans="1:5">
      <c r="A492" t="s">
        <v>737</v>
      </c>
      <c r="B492" t="s">
        <v>39</v>
      </c>
      <c r="C492" s="1">
        <v>45818.343007002317</v>
      </c>
      <c r="D492" t="s">
        <v>13</v>
      </c>
      <c r="E492">
        <v>11.87</v>
      </c>
    </row>
    <row r="493" spans="1:5">
      <c r="A493" t="s">
        <v>738</v>
      </c>
      <c r="B493" t="s">
        <v>268</v>
      </c>
      <c r="C493" s="1">
        <v>45845.343007002317</v>
      </c>
      <c r="D493" t="s">
        <v>10</v>
      </c>
      <c r="E493">
        <v>12.36</v>
      </c>
    </row>
    <row r="494" spans="1:5">
      <c r="A494" t="s">
        <v>739</v>
      </c>
      <c r="B494" t="s">
        <v>601</v>
      </c>
      <c r="C494" s="1">
        <v>45742.343007002317</v>
      </c>
      <c r="D494" t="s">
        <v>7</v>
      </c>
      <c r="E494">
        <v>42.75</v>
      </c>
    </row>
    <row r="495" spans="1:5">
      <c r="A495" t="s">
        <v>740</v>
      </c>
      <c r="B495" t="s">
        <v>258</v>
      </c>
      <c r="C495" s="1">
        <v>45691.343007002317</v>
      </c>
      <c r="D495" t="s">
        <v>16</v>
      </c>
      <c r="E495">
        <v>10.33</v>
      </c>
    </row>
    <row r="496" spans="1:5">
      <c r="A496" t="s">
        <v>741</v>
      </c>
      <c r="B496" t="s">
        <v>742</v>
      </c>
      <c r="C496" s="1">
        <v>45852.343007002317</v>
      </c>
      <c r="D496" t="s">
        <v>10</v>
      </c>
      <c r="E496">
        <v>17.940000000000001</v>
      </c>
    </row>
    <row r="497" spans="1:5">
      <c r="A497" t="s">
        <v>743</v>
      </c>
      <c r="B497" t="s">
        <v>601</v>
      </c>
      <c r="C497" s="1">
        <v>45920.343007002317</v>
      </c>
      <c r="D497" t="s">
        <v>50</v>
      </c>
      <c r="E497">
        <v>4.4800000000000004</v>
      </c>
    </row>
    <row r="498" spans="1:5">
      <c r="A498" t="s">
        <v>744</v>
      </c>
      <c r="B498" t="s">
        <v>745</v>
      </c>
      <c r="C498" s="1">
        <v>45599.343007002317</v>
      </c>
      <c r="D498" t="s">
        <v>29</v>
      </c>
      <c r="E498">
        <v>25.31</v>
      </c>
    </row>
    <row r="499" spans="1:5">
      <c r="A499" t="s">
        <v>746</v>
      </c>
      <c r="B499" t="s">
        <v>424</v>
      </c>
      <c r="C499" s="1">
        <v>45611.343007002317</v>
      </c>
      <c r="D499" t="s">
        <v>29</v>
      </c>
      <c r="E499">
        <v>26.51</v>
      </c>
    </row>
    <row r="500" spans="1:5">
      <c r="A500" t="s">
        <v>747</v>
      </c>
      <c r="B500" t="s">
        <v>327</v>
      </c>
      <c r="C500" s="1">
        <v>45875.343007002317</v>
      </c>
      <c r="D500" t="s">
        <v>13</v>
      </c>
      <c r="E500">
        <v>12.69</v>
      </c>
    </row>
    <row r="501" spans="1:5">
      <c r="A501" t="s">
        <v>748</v>
      </c>
      <c r="B501" t="s">
        <v>441</v>
      </c>
      <c r="C501" s="1">
        <v>45931.343007002317</v>
      </c>
      <c r="D501" t="s">
        <v>29</v>
      </c>
      <c r="E501">
        <v>25.61</v>
      </c>
    </row>
    <row r="502" spans="1:5">
      <c r="A502" t="s">
        <v>749</v>
      </c>
      <c r="B502" t="s">
        <v>300</v>
      </c>
      <c r="C502" s="1">
        <v>45842.343007002317</v>
      </c>
      <c r="D502" t="s">
        <v>16</v>
      </c>
      <c r="E502">
        <v>11.11</v>
      </c>
    </row>
    <row r="503" spans="1:5">
      <c r="A503" t="s">
        <v>750</v>
      </c>
      <c r="B503" t="s">
        <v>177</v>
      </c>
      <c r="C503" s="1">
        <v>45853.343007002317</v>
      </c>
      <c r="D503" t="s">
        <v>7</v>
      </c>
      <c r="E503">
        <v>35.28</v>
      </c>
    </row>
    <row r="504" spans="1:5">
      <c r="A504" t="s">
        <v>751</v>
      </c>
      <c r="B504" t="s">
        <v>752</v>
      </c>
      <c r="C504" s="1">
        <v>45755.343007002317</v>
      </c>
      <c r="D504" t="s">
        <v>50</v>
      </c>
      <c r="E504">
        <v>5.45</v>
      </c>
    </row>
    <row r="505" spans="1:5">
      <c r="A505" t="s">
        <v>753</v>
      </c>
      <c r="B505" t="s">
        <v>754</v>
      </c>
      <c r="C505" s="1">
        <v>45935.343007002317</v>
      </c>
      <c r="D505" t="s">
        <v>16</v>
      </c>
      <c r="E505">
        <v>10.48</v>
      </c>
    </row>
    <row r="506" spans="1:5">
      <c r="A506" t="s">
        <v>755</v>
      </c>
      <c r="B506" t="s">
        <v>441</v>
      </c>
      <c r="C506" s="1">
        <v>45747.343007002317</v>
      </c>
      <c r="D506" t="s">
        <v>50</v>
      </c>
      <c r="E506">
        <v>5.79</v>
      </c>
    </row>
    <row r="507" spans="1:5">
      <c r="A507" t="s">
        <v>756</v>
      </c>
      <c r="B507" t="s">
        <v>441</v>
      </c>
      <c r="C507" s="1">
        <v>45773.343007002317</v>
      </c>
      <c r="D507" t="s">
        <v>50</v>
      </c>
      <c r="E507">
        <v>5.69</v>
      </c>
    </row>
    <row r="508" spans="1:5">
      <c r="A508" t="s">
        <v>757</v>
      </c>
      <c r="B508" t="s">
        <v>86</v>
      </c>
      <c r="C508" s="1">
        <v>45758.343007002317</v>
      </c>
      <c r="D508" t="s">
        <v>7</v>
      </c>
      <c r="E508">
        <v>37.04</v>
      </c>
    </row>
    <row r="509" spans="1:5">
      <c r="A509" t="s">
        <v>758</v>
      </c>
      <c r="B509" t="s">
        <v>134</v>
      </c>
      <c r="C509" s="1">
        <v>45628.343007002317</v>
      </c>
      <c r="D509" t="s">
        <v>13</v>
      </c>
      <c r="E509">
        <v>10.93</v>
      </c>
    </row>
    <row r="510" spans="1:5">
      <c r="A510" t="s">
        <v>759</v>
      </c>
      <c r="B510" t="s">
        <v>694</v>
      </c>
      <c r="C510" s="1">
        <v>45774.343007002317</v>
      </c>
      <c r="D510" t="s">
        <v>29</v>
      </c>
      <c r="E510">
        <v>29.82</v>
      </c>
    </row>
    <row r="511" spans="1:5">
      <c r="A511" t="s">
        <v>760</v>
      </c>
      <c r="B511" t="s">
        <v>161</v>
      </c>
      <c r="C511" s="1">
        <v>45696.343007002317</v>
      </c>
      <c r="D511" t="s">
        <v>7</v>
      </c>
      <c r="E511">
        <v>40.44</v>
      </c>
    </row>
    <row r="512" spans="1:5">
      <c r="A512" t="s">
        <v>761</v>
      </c>
      <c r="B512" t="s">
        <v>389</v>
      </c>
      <c r="C512" s="1">
        <v>45863.343007002317</v>
      </c>
      <c r="D512" t="s">
        <v>16</v>
      </c>
      <c r="E512">
        <v>11.63</v>
      </c>
    </row>
    <row r="513" spans="1:5">
      <c r="A513" t="s">
        <v>762</v>
      </c>
      <c r="B513" t="s">
        <v>26</v>
      </c>
      <c r="C513" s="1">
        <v>45918.343007002317</v>
      </c>
      <c r="D513" t="s">
        <v>13</v>
      </c>
      <c r="E513">
        <v>10.39</v>
      </c>
    </row>
    <row r="514" spans="1:5">
      <c r="A514" t="s">
        <v>763</v>
      </c>
      <c r="B514" t="s">
        <v>219</v>
      </c>
      <c r="C514" s="1">
        <v>45660.343007002317</v>
      </c>
      <c r="D514" t="s">
        <v>16</v>
      </c>
      <c r="E514">
        <v>10.57</v>
      </c>
    </row>
    <row r="515" spans="1:5">
      <c r="A515" t="s">
        <v>764</v>
      </c>
      <c r="B515" t="s">
        <v>429</v>
      </c>
      <c r="C515" s="1">
        <v>45763.343007002317</v>
      </c>
      <c r="D515" t="s">
        <v>13</v>
      </c>
      <c r="E515">
        <v>13.49</v>
      </c>
    </row>
    <row r="516" spans="1:5">
      <c r="A516" t="s">
        <v>765</v>
      </c>
      <c r="B516" t="s">
        <v>429</v>
      </c>
      <c r="C516" s="1">
        <v>45925.343007002317</v>
      </c>
      <c r="D516" t="s">
        <v>16</v>
      </c>
      <c r="E516">
        <v>11.79</v>
      </c>
    </row>
    <row r="517" spans="1:5">
      <c r="A517" t="s">
        <v>766</v>
      </c>
      <c r="B517" t="s">
        <v>767</v>
      </c>
      <c r="C517" s="1">
        <v>45638.343007002317</v>
      </c>
      <c r="D517" t="s">
        <v>7</v>
      </c>
      <c r="E517">
        <v>37.4</v>
      </c>
    </row>
    <row r="518" spans="1:5">
      <c r="A518" t="s">
        <v>768</v>
      </c>
      <c r="B518" t="s">
        <v>633</v>
      </c>
      <c r="C518" s="1">
        <v>45639.343007002317</v>
      </c>
      <c r="D518" t="s">
        <v>13</v>
      </c>
      <c r="E518">
        <v>13.08</v>
      </c>
    </row>
    <row r="519" spans="1:5">
      <c r="A519" t="s">
        <v>769</v>
      </c>
      <c r="B519" t="s">
        <v>770</v>
      </c>
      <c r="C519" s="1">
        <v>45880.343007002317</v>
      </c>
      <c r="D519" t="s">
        <v>13</v>
      </c>
      <c r="E519">
        <v>12.19</v>
      </c>
    </row>
    <row r="520" spans="1:5">
      <c r="A520" t="s">
        <v>771</v>
      </c>
      <c r="B520" t="s">
        <v>502</v>
      </c>
      <c r="C520" s="1">
        <v>45607.343007002317</v>
      </c>
      <c r="D520" t="s">
        <v>50</v>
      </c>
      <c r="E520">
        <v>4.12</v>
      </c>
    </row>
    <row r="521" spans="1:5">
      <c r="A521" t="s">
        <v>772</v>
      </c>
      <c r="B521" t="s">
        <v>628</v>
      </c>
      <c r="C521" s="1">
        <v>45690.343007002317</v>
      </c>
      <c r="D521" t="s">
        <v>50</v>
      </c>
      <c r="E521">
        <v>5.38</v>
      </c>
    </row>
    <row r="522" spans="1:5">
      <c r="A522" t="s">
        <v>773</v>
      </c>
      <c r="B522" t="s">
        <v>774</v>
      </c>
      <c r="C522" s="1">
        <v>45897.343007002317</v>
      </c>
      <c r="D522" t="s">
        <v>10</v>
      </c>
      <c r="E522">
        <v>16.14</v>
      </c>
    </row>
    <row r="523" spans="1:5">
      <c r="A523" t="s">
        <v>775</v>
      </c>
      <c r="B523" t="s">
        <v>776</v>
      </c>
      <c r="C523" s="1">
        <v>45848.343007002317</v>
      </c>
      <c r="D523" t="s">
        <v>16</v>
      </c>
      <c r="E523">
        <v>11.72</v>
      </c>
    </row>
    <row r="524" spans="1:5">
      <c r="A524" t="s">
        <v>777</v>
      </c>
      <c r="B524" t="s">
        <v>396</v>
      </c>
      <c r="C524" s="1">
        <v>45837.343007002317</v>
      </c>
      <c r="D524" t="s">
        <v>50</v>
      </c>
      <c r="E524">
        <v>4.99</v>
      </c>
    </row>
    <row r="525" spans="1:5">
      <c r="A525" t="s">
        <v>778</v>
      </c>
      <c r="B525" t="s">
        <v>380</v>
      </c>
      <c r="C525" s="1">
        <v>45630.343007002317</v>
      </c>
      <c r="D525" t="s">
        <v>10</v>
      </c>
      <c r="E525">
        <v>13.38</v>
      </c>
    </row>
    <row r="526" spans="1:5">
      <c r="A526" t="s">
        <v>779</v>
      </c>
      <c r="B526" t="s">
        <v>211</v>
      </c>
      <c r="C526" s="1">
        <v>45810.343007002317</v>
      </c>
      <c r="D526" t="s">
        <v>50</v>
      </c>
      <c r="E526">
        <v>4.09</v>
      </c>
    </row>
    <row r="527" spans="1:5">
      <c r="A527" t="s">
        <v>780</v>
      </c>
      <c r="B527" t="s">
        <v>452</v>
      </c>
      <c r="C527" s="1">
        <v>45932.343007002317</v>
      </c>
      <c r="D527" t="s">
        <v>16</v>
      </c>
      <c r="E527">
        <v>9.66</v>
      </c>
    </row>
    <row r="528" spans="1:5">
      <c r="A528" t="s">
        <v>781</v>
      </c>
      <c r="B528" t="s">
        <v>770</v>
      </c>
      <c r="C528" s="1">
        <v>45685.343007002317</v>
      </c>
      <c r="D528" t="s">
        <v>13</v>
      </c>
      <c r="E528">
        <v>11.05</v>
      </c>
    </row>
    <row r="529" spans="1:5">
      <c r="A529" t="s">
        <v>782</v>
      </c>
      <c r="B529" t="s">
        <v>357</v>
      </c>
      <c r="C529" s="1">
        <v>45859.343007002317</v>
      </c>
      <c r="D529" t="s">
        <v>29</v>
      </c>
      <c r="E529">
        <v>27.61</v>
      </c>
    </row>
    <row r="530" spans="1:5">
      <c r="A530" t="s">
        <v>783</v>
      </c>
      <c r="B530" t="s">
        <v>784</v>
      </c>
      <c r="C530" s="1">
        <v>45688.343007002317</v>
      </c>
      <c r="D530" t="s">
        <v>16</v>
      </c>
      <c r="E530">
        <v>9.42</v>
      </c>
    </row>
    <row r="531" spans="1:5">
      <c r="A531" t="s">
        <v>785</v>
      </c>
      <c r="B531" t="s">
        <v>104</v>
      </c>
      <c r="C531" s="1">
        <v>45685.343007002317</v>
      </c>
      <c r="D531" t="s">
        <v>7</v>
      </c>
      <c r="E531">
        <v>47.19</v>
      </c>
    </row>
    <row r="532" spans="1:5">
      <c r="A532" t="s">
        <v>786</v>
      </c>
      <c r="B532" t="s">
        <v>713</v>
      </c>
      <c r="C532" s="1">
        <v>45710.343007002317</v>
      </c>
      <c r="D532" t="s">
        <v>50</v>
      </c>
      <c r="E532">
        <v>5.92</v>
      </c>
    </row>
    <row r="533" spans="1:5">
      <c r="A533" t="s">
        <v>787</v>
      </c>
      <c r="B533" t="s">
        <v>309</v>
      </c>
      <c r="C533" s="1">
        <v>45700.343007002317</v>
      </c>
      <c r="D533" t="s">
        <v>50</v>
      </c>
      <c r="E533">
        <v>5.24</v>
      </c>
    </row>
    <row r="534" spans="1:5">
      <c r="A534" t="s">
        <v>788</v>
      </c>
      <c r="B534" t="s">
        <v>118</v>
      </c>
      <c r="C534" s="1">
        <v>45791.343007002317</v>
      </c>
      <c r="D534" t="s">
        <v>13</v>
      </c>
      <c r="E534">
        <v>14.06</v>
      </c>
    </row>
    <row r="535" spans="1:5">
      <c r="A535" t="s">
        <v>789</v>
      </c>
      <c r="B535" t="s">
        <v>398</v>
      </c>
      <c r="C535" s="1">
        <v>45909.343007002317</v>
      </c>
      <c r="D535" t="s">
        <v>7</v>
      </c>
      <c r="E535">
        <v>44.17</v>
      </c>
    </row>
    <row r="536" spans="1:5">
      <c r="A536" t="s">
        <v>790</v>
      </c>
      <c r="B536" t="s">
        <v>791</v>
      </c>
      <c r="C536" s="1">
        <v>45709.343007002317</v>
      </c>
      <c r="D536" t="s">
        <v>13</v>
      </c>
      <c r="E536">
        <v>12.22</v>
      </c>
    </row>
    <row r="537" spans="1:5">
      <c r="A537" t="s">
        <v>792</v>
      </c>
      <c r="B537" t="s">
        <v>793</v>
      </c>
      <c r="C537" s="1">
        <v>45670.343007002317</v>
      </c>
      <c r="D537" t="s">
        <v>7</v>
      </c>
      <c r="E537">
        <v>34.880000000000003</v>
      </c>
    </row>
    <row r="538" spans="1:5">
      <c r="A538" t="s">
        <v>794</v>
      </c>
      <c r="B538" t="s">
        <v>795</v>
      </c>
      <c r="C538" s="1">
        <v>45812.343007002317</v>
      </c>
      <c r="D538" t="s">
        <v>29</v>
      </c>
      <c r="E538">
        <v>24.59</v>
      </c>
    </row>
    <row r="539" spans="1:5">
      <c r="A539" t="s">
        <v>796</v>
      </c>
      <c r="B539" t="s">
        <v>560</v>
      </c>
      <c r="C539" s="1">
        <v>45872.343007002317</v>
      </c>
      <c r="D539" t="s">
        <v>50</v>
      </c>
      <c r="E539">
        <v>5.12</v>
      </c>
    </row>
    <row r="540" spans="1:5">
      <c r="A540" t="s">
        <v>797</v>
      </c>
      <c r="B540" t="s">
        <v>92</v>
      </c>
      <c r="C540" s="1">
        <v>45844.343007002317</v>
      </c>
      <c r="D540" t="s">
        <v>50</v>
      </c>
      <c r="E540">
        <v>5.73</v>
      </c>
    </row>
    <row r="541" spans="1:5">
      <c r="A541" t="s">
        <v>798</v>
      </c>
      <c r="B541" t="s">
        <v>300</v>
      </c>
      <c r="C541" s="1">
        <v>45759.343007002317</v>
      </c>
      <c r="D541" t="s">
        <v>29</v>
      </c>
      <c r="E541">
        <v>24.81</v>
      </c>
    </row>
    <row r="542" spans="1:5">
      <c r="A542" t="s">
        <v>799</v>
      </c>
      <c r="B542" t="s">
        <v>24</v>
      </c>
      <c r="C542" s="1">
        <v>45952.343007002317</v>
      </c>
      <c r="D542" t="s">
        <v>10</v>
      </c>
      <c r="E542">
        <v>17.39</v>
      </c>
    </row>
    <row r="543" spans="1:5">
      <c r="A543" t="s">
        <v>800</v>
      </c>
      <c r="B543" t="s">
        <v>495</v>
      </c>
      <c r="C543" s="1">
        <v>45787.343007002317</v>
      </c>
      <c r="D543" t="s">
        <v>13</v>
      </c>
      <c r="E543">
        <v>12.84</v>
      </c>
    </row>
    <row r="544" spans="1:5">
      <c r="A544" t="s">
        <v>801</v>
      </c>
      <c r="B544" t="s">
        <v>776</v>
      </c>
      <c r="C544" s="1">
        <v>45822.343007002317</v>
      </c>
      <c r="D544" t="s">
        <v>29</v>
      </c>
      <c r="E544">
        <v>21.37</v>
      </c>
    </row>
    <row r="545" spans="1:5">
      <c r="A545" t="s">
        <v>802</v>
      </c>
      <c r="B545" t="s">
        <v>325</v>
      </c>
      <c r="C545" s="1">
        <v>45772.343007002317</v>
      </c>
      <c r="D545" t="s">
        <v>13</v>
      </c>
      <c r="E545">
        <v>14.38</v>
      </c>
    </row>
    <row r="546" spans="1:5">
      <c r="A546" t="s">
        <v>803</v>
      </c>
      <c r="B546" t="s">
        <v>804</v>
      </c>
      <c r="C546" s="1">
        <v>45694.343007002317</v>
      </c>
      <c r="D546" t="s">
        <v>16</v>
      </c>
      <c r="E546">
        <v>10.11</v>
      </c>
    </row>
    <row r="547" spans="1:5">
      <c r="A547" t="s">
        <v>805</v>
      </c>
      <c r="B547" t="s">
        <v>264</v>
      </c>
      <c r="C547" s="1">
        <v>45631.343007002317</v>
      </c>
      <c r="D547" t="s">
        <v>50</v>
      </c>
      <c r="E547">
        <v>4.78</v>
      </c>
    </row>
    <row r="548" spans="1:5">
      <c r="A548" t="s">
        <v>806</v>
      </c>
      <c r="B548" t="s">
        <v>378</v>
      </c>
      <c r="C548" s="1">
        <v>45691.343007002317</v>
      </c>
      <c r="D548" t="s">
        <v>13</v>
      </c>
      <c r="E548">
        <v>12.76</v>
      </c>
    </row>
    <row r="549" spans="1:5">
      <c r="A549" t="s">
        <v>807</v>
      </c>
      <c r="B549" t="s">
        <v>396</v>
      </c>
      <c r="C549" s="1">
        <v>45747.343007002317</v>
      </c>
      <c r="D549" t="s">
        <v>7</v>
      </c>
      <c r="E549">
        <v>33.74</v>
      </c>
    </row>
    <row r="550" spans="1:5">
      <c r="A550" t="s">
        <v>808</v>
      </c>
      <c r="B550" t="s">
        <v>809</v>
      </c>
      <c r="C550" s="1">
        <v>45746.343007002317</v>
      </c>
      <c r="D550" t="s">
        <v>13</v>
      </c>
      <c r="E550">
        <v>12.66</v>
      </c>
    </row>
    <row r="551" spans="1:5">
      <c r="A551" t="s">
        <v>810</v>
      </c>
      <c r="B551" t="s">
        <v>811</v>
      </c>
      <c r="C551" s="1">
        <v>45785.343007002317</v>
      </c>
      <c r="D551" t="s">
        <v>16</v>
      </c>
      <c r="E551">
        <v>9.99</v>
      </c>
    </row>
    <row r="552" spans="1:5">
      <c r="A552" t="s">
        <v>812</v>
      </c>
      <c r="B552" t="s">
        <v>804</v>
      </c>
      <c r="C552" s="1">
        <v>45819.343007002317</v>
      </c>
      <c r="D552" t="s">
        <v>50</v>
      </c>
      <c r="E552">
        <v>4.8099999999999996</v>
      </c>
    </row>
    <row r="553" spans="1:5">
      <c r="A553" t="s">
        <v>813</v>
      </c>
      <c r="B553" t="s">
        <v>300</v>
      </c>
      <c r="C553" s="1">
        <v>45632.343007002317</v>
      </c>
      <c r="D553" t="s">
        <v>29</v>
      </c>
      <c r="E553">
        <v>29.53</v>
      </c>
    </row>
    <row r="554" spans="1:5">
      <c r="A554" t="s">
        <v>814</v>
      </c>
      <c r="B554" t="s">
        <v>60</v>
      </c>
      <c r="C554" s="1">
        <v>45863.343007002317</v>
      </c>
      <c r="D554" t="s">
        <v>16</v>
      </c>
      <c r="E554">
        <v>10.09</v>
      </c>
    </row>
    <row r="555" spans="1:5">
      <c r="A555" t="s">
        <v>815</v>
      </c>
      <c r="B555" t="s">
        <v>329</v>
      </c>
      <c r="C555" s="1">
        <v>45778.343007002317</v>
      </c>
      <c r="D555" t="s">
        <v>50</v>
      </c>
      <c r="E555">
        <v>4.4400000000000004</v>
      </c>
    </row>
    <row r="556" spans="1:5">
      <c r="A556" t="s">
        <v>816</v>
      </c>
      <c r="B556" t="s">
        <v>742</v>
      </c>
      <c r="C556" s="1">
        <v>45608.343007002317</v>
      </c>
      <c r="D556" t="s">
        <v>13</v>
      </c>
      <c r="E556">
        <v>11.8</v>
      </c>
    </row>
    <row r="557" spans="1:5">
      <c r="A557" t="s">
        <v>817</v>
      </c>
      <c r="B557" t="s">
        <v>450</v>
      </c>
      <c r="C557" s="1">
        <v>45874.343007002317</v>
      </c>
      <c r="D557" t="s">
        <v>10</v>
      </c>
      <c r="E557">
        <v>17.52</v>
      </c>
    </row>
    <row r="558" spans="1:5">
      <c r="A558" t="s">
        <v>818</v>
      </c>
      <c r="B558" t="s">
        <v>145</v>
      </c>
      <c r="C558" s="1">
        <v>45812.343007002317</v>
      </c>
      <c r="D558" t="s">
        <v>10</v>
      </c>
      <c r="E558">
        <v>13.06</v>
      </c>
    </row>
    <row r="559" spans="1:5">
      <c r="A559" t="s">
        <v>819</v>
      </c>
      <c r="B559" t="s">
        <v>820</v>
      </c>
      <c r="C559" s="1">
        <v>45950.343007002317</v>
      </c>
      <c r="D559" t="s">
        <v>7</v>
      </c>
      <c r="E559">
        <v>35.42</v>
      </c>
    </row>
    <row r="560" spans="1:5">
      <c r="A560" t="s">
        <v>821</v>
      </c>
      <c r="B560" t="s">
        <v>483</v>
      </c>
      <c r="C560" s="1">
        <v>45956.343007002317</v>
      </c>
      <c r="D560" t="s">
        <v>50</v>
      </c>
      <c r="E560">
        <v>4.03</v>
      </c>
    </row>
    <row r="561" spans="1:5">
      <c r="A561" t="s">
        <v>822</v>
      </c>
      <c r="B561" t="s">
        <v>823</v>
      </c>
      <c r="C561" s="1">
        <v>45881.343007002317</v>
      </c>
      <c r="D561" t="s">
        <v>10</v>
      </c>
      <c r="E561">
        <v>12.09</v>
      </c>
    </row>
    <row r="562" spans="1:5">
      <c r="A562" t="s">
        <v>824</v>
      </c>
      <c r="B562" t="s">
        <v>264</v>
      </c>
      <c r="C562" s="1">
        <v>45868.343007002317</v>
      </c>
      <c r="D562" t="s">
        <v>29</v>
      </c>
      <c r="E562">
        <v>28.29</v>
      </c>
    </row>
    <row r="563" spans="1:5">
      <c r="A563" t="s">
        <v>825</v>
      </c>
      <c r="B563" t="s">
        <v>560</v>
      </c>
      <c r="C563" s="1">
        <v>45657.343007002317</v>
      </c>
      <c r="D563" t="s">
        <v>50</v>
      </c>
      <c r="E563">
        <v>5.46</v>
      </c>
    </row>
    <row r="564" spans="1:5">
      <c r="A564" t="s">
        <v>826</v>
      </c>
      <c r="B564" t="s">
        <v>500</v>
      </c>
      <c r="C564" s="1">
        <v>45679.343007002317</v>
      </c>
      <c r="D564" t="s">
        <v>29</v>
      </c>
      <c r="E564">
        <v>23.55</v>
      </c>
    </row>
    <row r="565" spans="1:5">
      <c r="A565" t="s">
        <v>827</v>
      </c>
      <c r="B565" t="s">
        <v>828</v>
      </c>
      <c r="C565" s="1">
        <v>45812.343007002317</v>
      </c>
      <c r="D565" t="s">
        <v>29</v>
      </c>
      <c r="E565">
        <v>26.98</v>
      </c>
    </row>
    <row r="566" spans="1:5">
      <c r="A566" t="s">
        <v>829</v>
      </c>
      <c r="B566" t="s">
        <v>374</v>
      </c>
      <c r="C566" s="1">
        <v>45937.343007002317</v>
      </c>
      <c r="D566" t="s">
        <v>10</v>
      </c>
      <c r="E566">
        <v>14.37</v>
      </c>
    </row>
    <row r="567" spans="1:5">
      <c r="A567" t="s">
        <v>830</v>
      </c>
      <c r="B567" t="s">
        <v>205</v>
      </c>
      <c r="C567" s="1">
        <v>45782.343007002317</v>
      </c>
      <c r="D567" t="s">
        <v>50</v>
      </c>
      <c r="E567">
        <v>5.91</v>
      </c>
    </row>
    <row r="568" spans="1:5">
      <c r="A568" t="s">
        <v>831</v>
      </c>
      <c r="B568" t="s">
        <v>66</v>
      </c>
      <c r="C568" s="1">
        <v>45614.343007002317</v>
      </c>
      <c r="D568" t="s">
        <v>13</v>
      </c>
      <c r="E568">
        <v>14.24</v>
      </c>
    </row>
    <row r="569" spans="1:5">
      <c r="A569" t="s">
        <v>832</v>
      </c>
      <c r="B569" t="s">
        <v>823</v>
      </c>
      <c r="C569" s="1">
        <v>45772.343007002317</v>
      </c>
      <c r="D569" t="s">
        <v>16</v>
      </c>
      <c r="E569">
        <v>9.57</v>
      </c>
    </row>
    <row r="570" spans="1:5">
      <c r="A570" t="s">
        <v>833</v>
      </c>
      <c r="B570" t="s">
        <v>321</v>
      </c>
      <c r="C570" s="1">
        <v>45695.343007002317</v>
      </c>
      <c r="D570" t="s">
        <v>10</v>
      </c>
      <c r="E570">
        <v>17.13</v>
      </c>
    </row>
    <row r="571" spans="1:5">
      <c r="A571" t="s">
        <v>834</v>
      </c>
      <c r="B571" t="s">
        <v>281</v>
      </c>
      <c r="C571" s="1">
        <v>45828.343007002317</v>
      </c>
      <c r="D571" t="s">
        <v>10</v>
      </c>
      <c r="E571">
        <v>16.64</v>
      </c>
    </row>
    <row r="572" spans="1:5">
      <c r="A572" t="s">
        <v>835</v>
      </c>
      <c r="B572" t="s">
        <v>836</v>
      </c>
      <c r="C572" s="1">
        <v>45671.343007002317</v>
      </c>
      <c r="D572" t="s">
        <v>13</v>
      </c>
      <c r="E572">
        <v>11.09</v>
      </c>
    </row>
    <row r="573" spans="1:5">
      <c r="A573" t="s">
        <v>837</v>
      </c>
      <c r="B573" t="s">
        <v>511</v>
      </c>
      <c r="C573" s="1">
        <v>45860.343007002317</v>
      </c>
      <c r="D573" t="s">
        <v>50</v>
      </c>
      <c r="E573">
        <v>4.46</v>
      </c>
    </row>
    <row r="574" spans="1:5">
      <c r="A574" t="s">
        <v>838</v>
      </c>
      <c r="B574" t="s">
        <v>268</v>
      </c>
      <c r="C574" s="1">
        <v>45879.343007002317</v>
      </c>
      <c r="D574" t="s">
        <v>50</v>
      </c>
      <c r="E574">
        <v>4.92</v>
      </c>
    </row>
    <row r="575" spans="1:5">
      <c r="A575" t="s">
        <v>839</v>
      </c>
      <c r="B575" t="s">
        <v>519</v>
      </c>
      <c r="C575" s="1">
        <v>45801.343007002317</v>
      </c>
      <c r="D575" t="s">
        <v>29</v>
      </c>
      <c r="E575">
        <v>27.81</v>
      </c>
    </row>
    <row r="576" spans="1:5">
      <c r="A576" t="s">
        <v>840</v>
      </c>
      <c r="B576" t="s">
        <v>380</v>
      </c>
      <c r="C576" s="1">
        <v>45818.343007002317</v>
      </c>
      <c r="D576" t="s">
        <v>13</v>
      </c>
      <c r="E576">
        <v>14.21</v>
      </c>
    </row>
    <row r="577" spans="1:5">
      <c r="A577" t="s">
        <v>841</v>
      </c>
      <c r="B577" t="s">
        <v>225</v>
      </c>
      <c r="C577" s="1">
        <v>45647.343007002317</v>
      </c>
      <c r="D577" t="s">
        <v>13</v>
      </c>
      <c r="E577">
        <v>13.27</v>
      </c>
    </row>
    <row r="578" spans="1:5">
      <c r="A578" t="s">
        <v>842</v>
      </c>
      <c r="B578" t="s">
        <v>843</v>
      </c>
      <c r="C578" s="1">
        <v>45934.343007002317</v>
      </c>
      <c r="D578" t="s">
        <v>50</v>
      </c>
      <c r="E578">
        <v>5.71</v>
      </c>
    </row>
    <row r="579" spans="1:5">
      <c r="A579" t="s">
        <v>844</v>
      </c>
      <c r="B579" t="s">
        <v>122</v>
      </c>
      <c r="C579" s="1">
        <v>45739.343007002317</v>
      </c>
      <c r="D579" t="s">
        <v>29</v>
      </c>
      <c r="E579">
        <v>26.03</v>
      </c>
    </row>
    <row r="580" spans="1:5">
      <c r="A580" t="s">
        <v>845</v>
      </c>
      <c r="B580" t="s">
        <v>846</v>
      </c>
      <c r="C580" s="1">
        <v>45664.343007002317</v>
      </c>
      <c r="D580" t="s">
        <v>10</v>
      </c>
      <c r="E580">
        <v>17.010000000000002</v>
      </c>
    </row>
    <row r="581" spans="1:5">
      <c r="A581" t="s">
        <v>847</v>
      </c>
      <c r="B581" t="s">
        <v>848</v>
      </c>
      <c r="C581" s="1">
        <v>45694.343007002317</v>
      </c>
      <c r="D581" t="s">
        <v>7</v>
      </c>
      <c r="E581">
        <v>44.55</v>
      </c>
    </row>
    <row r="582" spans="1:5">
      <c r="A582" t="s">
        <v>849</v>
      </c>
      <c r="B582" t="s">
        <v>585</v>
      </c>
      <c r="C582" s="1">
        <v>45620.343007002317</v>
      </c>
      <c r="D582" t="s">
        <v>16</v>
      </c>
      <c r="E582">
        <v>9.51</v>
      </c>
    </row>
    <row r="583" spans="1:5">
      <c r="A583" t="s">
        <v>850</v>
      </c>
      <c r="B583" t="s">
        <v>418</v>
      </c>
      <c r="C583" s="1">
        <v>45648.343007002317</v>
      </c>
      <c r="D583" t="s">
        <v>10</v>
      </c>
      <c r="E583">
        <v>15.31</v>
      </c>
    </row>
    <row r="584" spans="1:5">
      <c r="A584" t="s">
        <v>851</v>
      </c>
      <c r="B584" t="s">
        <v>281</v>
      </c>
      <c r="C584" s="1">
        <v>45746.343007002317</v>
      </c>
      <c r="D584" t="s">
        <v>50</v>
      </c>
      <c r="E584">
        <v>5.61</v>
      </c>
    </row>
    <row r="585" spans="1:5">
      <c r="A585" t="s">
        <v>852</v>
      </c>
      <c r="B585" t="s">
        <v>454</v>
      </c>
      <c r="C585" s="1">
        <v>45739.343007002317</v>
      </c>
      <c r="D585" t="s">
        <v>16</v>
      </c>
      <c r="E585">
        <v>8.18</v>
      </c>
    </row>
    <row r="586" spans="1:5">
      <c r="A586" t="s">
        <v>853</v>
      </c>
      <c r="B586" t="s">
        <v>703</v>
      </c>
      <c r="C586" s="1">
        <v>45652.343007002317</v>
      </c>
      <c r="D586" t="s">
        <v>7</v>
      </c>
      <c r="E586">
        <v>44.93</v>
      </c>
    </row>
    <row r="587" spans="1:5">
      <c r="A587" t="s">
        <v>854</v>
      </c>
      <c r="B587" t="s">
        <v>118</v>
      </c>
      <c r="C587" s="1">
        <v>45634.343007002317</v>
      </c>
      <c r="D587" t="s">
        <v>7</v>
      </c>
      <c r="E587">
        <v>34.85</v>
      </c>
    </row>
    <row r="588" spans="1:5">
      <c r="A588" t="s">
        <v>855</v>
      </c>
      <c r="B588" t="s">
        <v>856</v>
      </c>
      <c r="C588" s="1">
        <v>45704.343007002317</v>
      </c>
      <c r="D588" t="s">
        <v>29</v>
      </c>
      <c r="E588">
        <v>25.15</v>
      </c>
    </row>
    <row r="589" spans="1:5">
      <c r="A589" t="s">
        <v>857</v>
      </c>
      <c r="B589" t="s">
        <v>281</v>
      </c>
      <c r="C589" s="1">
        <v>45776.343007002317</v>
      </c>
      <c r="D589" t="s">
        <v>16</v>
      </c>
      <c r="E589">
        <v>11.23</v>
      </c>
    </row>
    <row r="590" spans="1:5">
      <c r="A590" t="s">
        <v>858</v>
      </c>
      <c r="B590" t="s">
        <v>132</v>
      </c>
      <c r="C590" s="1">
        <v>45637.343007002317</v>
      </c>
      <c r="D590" t="s">
        <v>29</v>
      </c>
      <c r="E590">
        <v>22.54</v>
      </c>
    </row>
    <row r="591" spans="1:5">
      <c r="A591" t="s">
        <v>859</v>
      </c>
      <c r="B591" t="s">
        <v>260</v>
      </c>
      <c r="C591" s="1">
        <v>45781.343007002317</v>
      </c>
      <c r="D591" t="s">
        <v>10</v>
      </c>
      <c r="E591">
        <v>13.47</v>
      </c>
    </row>
    <row r="592" spans="1:5">
      <c r="A592" t="s">
        <v>860</v>
      </c>
      <c r="B592" t="s">
        <v>98</v>
      </c>
      <c r="C592" s="1">
        <v>45818.343007002317</v>
      </c>
      <c r="D592" t="s">
        <v>13</v>
      </c>
      <c r="E592">
        <v>11.53</v>
      </c>
    </row>
    <row r="593" spans="1:5">
      <c r="A593" t="s">
        <v>861</v>
      </c>
      <c r="B593" t="s">
        <v>28</v>
      </c>
      <c r="C593" s="1">
        <v>45717.343007002317</v>
      </c>
      <c r="D593" t="s">
        <v>13</v>
      </c>
      <c r="E593">
        <v>13.89</v>
      </c>
    </row>
    <row r="594" spans="1:5">
      <c r="A594" t="s">
        <v>862</v>
      </c>
      <c r="B594" t="s">
        <v>321</v>
      </c>
      <c r="C594" s="1">
        <v>45728.343007002317</v>
      </c>
      <c r="D594" t="s">
        <v>13</v>
      </c>
      <c r="E594">
        <v>9.6</v>
      </c>
    </row>
    <row r="595" spans="1:5">
      <c r="A595" t="s">
        <v>863</v>
      </c>
      <c r="B595" t="s">
        <v>31</v>
      </c>
      <c r="C595" s="1">
        <v>45758.343007002317</v>
      </c>
      <c r="D595" t="s">
        <v>16</v>
      </c>
      <c r="E595">
        <v>11.61</v>
      </c>
    </row>
    <row r="596" spans="1:5">
      <c r="A596" t="s">
        <v>864</v>
      </c>
      <c r="B596" t="s">
        <v>828</v>
      </c>
      <c r="C596" s="1">
        <v>45810.343007002317</v>
      </c>
      <c r="D596" t="s">
        <v>13</v>
      </c>
      <c r="E596">
        <v>10.34</v>
      </c>
    </row>
    <row r="597" spans="1:5">
      <c r="A597" t="s">
        <v>865</v>
      </c>
      <c r="B597" t="s">
        <v>479</v>
      </c>
      <c r="C597" s="1">
        <v>45816.343007002317</v>
      </c>
      <c r="D597" t="s">
        <v>10</v>
      </c>
      <c r="E597">
        <v>17.940000000000001</v>
      </c>
    </row>
    <row r="598" spans="1:5">
      <c r="A598" t="s">
        <v>866</v>
      </c>
      <c r="B598" t="s">
        <v>407</v>
      </c>
      <c r="C598" s="1">
        <v>45830.343007002317</v>
      </c>
      <c r="D598" t="s">
        <v>29</v>
      </c>
      <c r="E598">
        <v>29.55</v>
      </c>
    </row>
    <row r="599" spans="1:5">
      <c r="A599" t="s">
        <v>867</v>
      </c>
      <c r="B599" t="s">
        <v>47</v>
      </c>
      <c r="C599" s="1">
        <v>45926.343007002317</v>
      </c>
      <c r="D599" t="s">
        <v>16</v>
      </c>
      <c r="E599">
        <v>9.98</v>
      </c>
    </row>
    <row r="600" spans="1:5">
      <c r="A600" t="s">
        <v>868</v>
      </c>
      <c r="B600" t="s">
        <v>219</v>
      </c>
      <c r="C600" s="1">
        <v>45741.343007002317</v>
      </c>
      <c r="D600" t="s">
        <v>29</v>
      </c>
      <c r="E600">
        <v>25.13</v>
      </c>
    </row>
    <row r="601" spans="1:5">
      <c r="A601" t="s">
        <v>869</v>
      </c>
      <c r="B601" t="s">
        <v>870</v>
      </c>
      <c r="C601" s="1">
        <v>45834.343007002317</v>
      </c>
      <c r="D601" t="s">
        <v>16</v>
      </c>
      <c r="E601">
        <v>9.93</v>
      </c>
    </row>
    <row r="602" spans="1:5">
      <c r="A602" t="s">
        <v>871</v>
      </c>
      <c r="B602" t="s">
        <v>31</v>
      </c>
      <c r="C602" s="1">
        <v>45671.343007002317</v>
      </c>
      <c r="D602" t="s">
        <v>29</v>
      </c>
      <c r="E602">
        <v>26.35</v>
      </c>
    </row>
    <row r="603" spans="1:5">
      <c r="A603" t="s">
        <v>872</v>
      </c>
      <c r="B603" t="s">
        <v>694</v>
      </c>
      <c r="C603" s="1">
        <v>45604.343007002317</v>
      </c>
      <c r="D603" t="s">
        <v>7</v>
      </c>
      <c r="E603">
        <v>33.450000000000003</v>
      </c>
    </row>
    <row r="604" spans="1:5">
      <c r="A604" t="s">
        <v>873</v>
      </c>
      <c r="B604" t="s">
        <v>389</v>
      </c>
      <c r="C604" s="1">
        <v>45669.343007002317</v>
      </c>
      <c r="D604" t="s">
        <v>29</v>
      </c>
      <c r="E604">
        <v>20.329999999999998</v>
      </c>
    </row>
    <row r="605" spans="1:5">
      <c r="A605" t="s">
        <v>874</v>
      </c>
      <c r="B605" t="s">
        <v>233</v>
      </c>
      <c r="C605" s="1">
        <v>45848.343007002317</v>
      </c>
      <c r="D605" t="s">
        <v>13</v>
      </c>
      <c r="E605">
        <v>9.8800000000000008</v>
      </c>
    </row>
    <row r="606" spans="1:5">
      <c r="A606" t="s">
        <v>875</v>
      </c>
      <c r="B606" t="s">
        <v>848</v>
      </c>
      <c r="C606" s="1">
        <v>45825.343007002317</v>
      </c>
      <c r="D606" t="s">
        <v>7</v>
      </c>
      <c r="E606">
        <v>39.11</v>
      </c>
    </row>
    <row r="607" spans="1:5">
      <c r="A607" t="s">
        <v>876</v>
      </c>
      <c r="B607" t="s">
        <v>128</v>
      </c>
      <c r="C607" s="1">
        <v>45602.343007002317</v>
      </c>
      <c r="D607" t="s">
        <v>29</v>
      </c>
      <c r="E607">
        <v>22.76</v>
      </c>
    </row>
    <row r="608" spans="1:5">
      <c r="A608" t="s">
        <v>877</v>
      </c>
      <c r="B608" t="s">
        <v>342</v>
      </c>
      <c r="C608" s="1">
        <v>45769.343007002317</v>
      </c>
      <c r="D608" t="s">
        <v>16</v>
      </c>
      <c r="E608">
        <v>10.49</v>
      </c>
    </row>
    <row r="609" spans="1:5">
      <c r="A609" t="s">
        <v>878</v>
      </c>
      <c r="B609" t="s">
        <v>809</v>
      </c>
      <c r="C609" s="1">
        <v>45736.343007002317</v>
      </c>
      <c r="D609" t="s">
        <v>16</v>
      </c>
      <c r="E609">
        <v>11.97</v>
      </c>
    </row>
    <row r="610" spans="1:5">
      <c r="A610" t="s">
        <v>879</v>
      </c>
      <c r="B610" t="s">
        <v>444</v>
      </c>
      <c r="C610" s="1">
        <v>45763.343007002317</v>
      </c>
      <c r="D610" t="s">
        <v>16</v>
      </c>
      <c r="E610">
        <v>9.5500000000000007</v>
      </c>
    </row>
    <row r="611" spans="1:5">
      <c r="A611" t="s">
        <v>880</v>
      </c>
      <c r="B611" t="s">
        <v>422</v>
      </c>
      <c r="C611" s="1">
        <v>45765.343007002317</v>
      </c>
      <c r="D611" t="s">
        <v>50</v>
      </c>
      <c r="E611">
        <v>5.15</v>
      </c>
    </row>
    <row r="612" spans="1:5">
      <c r="A612" t="s">
        <v>881</v>
      </c>
      <c r="B612" t="s">
        <v>560</v>
      </c>
      <c r="C612" s="1">
        <v>45878.343007002317</v>
      </c>
      <c r="D612" t="s">
        <v>10</v>
      </c>
      <c r="E612">
        <v>14.49</v>
      </c>
    </row>
    <row r="613" spans="1:5">
      <c r="A613" t="s">
        <v>882</v>
      </c>
      <c r="B613" t="s">
        <v>636</v>
      </c>
      <c r="C613" s="1">
        <v>45717.343007002317</v>
      </c>
      <c r="D613" t="s">
        <v>16</v>
      </c>
      <c r="E613">
        <v>11.39</v>
      </c>
    </row>
    <row r="614" spans="1:5">
      <c r="A614" t="s">
        <v>883</v>
      </c>
      <c r="B614" t="s">
        <v>856</v>
      </c>
      <c r="C614" s="1">
        <v>45789.343007002317</v>
      </c>
      <c r="D614" t="s">
        <v>7</v>
      </c>
      <c r="E614">
        <v>46.44</v>
      </c>
    </row>
    <row r="615" spans="1:5">
      <c r="A615" t="s">
        <v>884</v>
      </c>
      <c r="B615" t="s">
        <v>885</v>
      </c>
      <c r="C615" s="1">
        <v>45600.343007002317</v>
      </c>
      <c r="D615" t="s">
        <v>16</v>
      </c>
      <c r="E615">
        <v>11.51</v>
      </c>
    </row>
    <row r="616" spans="1:5">
      <c r="A616" t="s">
        <v>886</v>
      </c>
      <c r="B616" t="s">
        <v>479</v>
      </c>
      <c r="C616" s="1">
        <v>45624.343007002317</v>
      </c>
      <c r="D616" t="s">
        <v>50</v>
      </c>
      <c r="E616">
        <v>5.95</v>
      </c>
    </row>
    <row r="617" spans="1:5">
      <c r="A617" t="s">
        <v>887</v>
      </c>
      <c r="B617" t="s">
        <v>682</v>
      </c>
      <c r="C617" s="1">
        <v>45760.343007002317</v>
      </c>
      <c r="D617" t="s">
        <v>13</v>
      </c>
      <c r="E617">
        <v>9.73</v>
      </c>
    </row>
    <row r="618" spans="1:5">
      <c r="A618" t="s">
        <v>888</v>
      </c>
      <c r="B618" t="s">
        <v>60</v>
      </c>
      <c r="C618" s="1">
        <v>45934.343007002317</v>
      </c>
      <c r="D618" t="s">
        <v>7</v>
      </c>
      <c r="E618">
        <v>45.44</v>
      </c>
    </row>
    <row r="619" spans="1:5">
      <c r="A619" t="s">
        <v>889</v>
      </c>
      <c r="B619" t="s">
        <v>112</v>
      </c>
      <c r="C619" s="1">
        <v>45731.343007002317</v>
      </c>
      <c r="D619" t="s">
        <v>50</v>
      </c>
      <c r="E619">
        <v>5.5</v>
      </c>
    </row>
    <row r="620" spans="1:5">
      <c r="A620" t="s">
        <v>890</v>
      </c>
      <c r="B620" t="s">
        <v>891</v>
      </c>
      <c r="C620" s="1">
        <v>45960.343007002317</v>
      </c>
      <c r="D620" t="s">
        <v>13</v>
      </c>
      <c r="E620">
        <v>10.7</v>
      </c>
    </row>
    <row r="621" spans="1:5">
      <c r="A621" t="s">
        <v>892</v>
      </c>
      <c r="B621" t="s">
        <v>349</v>
      </c>
      <c r="C621" s="1">
        <v>45916.343007002317</v>
      </c>
      <c r="D621" t="s">
        <v>7</v>
      </c>
      <c r="E621">
        <v>47.3</v>
      </c>
    </row>
    <row r="622" spans="1:5">
      <c r="A622" t="s">
        <v>893</v>
      </c>
      <c r="B622" t="s">
        <v>846</v>
      </c>
      <c r="C622" s="1">
        <v>45937.343007002317</v>
      </c>
      <c r="D622" t="s">
        <v>29</v>
      </c>
      <c r="E622">
        <v>21.48</v>
      </c>
    </row>
    <row r="623" spans="1:5">
      <c r="A623" t="s">
        <v>894</v>
      </c>
      <c r="B623" t="s">
        <v>479</v>
      </c>
      <c r="C623" s="1">
        <v>45740.343007002317</v>
      </c>
      <c r="D623" t="s">
        <v>10</v>
      </c>
      <c r="E623">
        <v>16.079999999999998</v>
      </c>
    </row>
    <row r="624" spans="1:5">
      <c r="A624" t="s">
        <v>895</v>
      </c>
      <c r="B624" t="s">
        <v>896</v>
      </c>
      <c r="C624" s="1">
        <v>45922.343007002317</v>
      </c>
      <c r="D624" t="s">
        <v>10</v>
      </c>
      <c r="E624">
        <v>13.35</v>
      </c>
    </row>
    <row r="625" spans="1:5">
      <c r="A625" t="s">
        <v>897</v>
      </c>
      <c r="B625" t="s">
        <v>898</v>
      </c>
      <c r="C625" s="1">
        <v>45812.343007002317</v>
      </c>
      <c r="D625" t="s">
        <v>50</v>
      </c>
      <c r="E625">
        <v>4.8600000000000003</v>
      </c>
    </row>
    <row r="626" spans="1:5">
      <c r="A626" t="s">
        <v>899</v>
      </c>
      <c r="B626" t="s">
        <v>592</v>
      </c>
      <c r="C626" s="1">
        <v>45896.343007002317</v>
      </c>
      <c r="D626" t="s">
        <v>13</v>
      </c>
      <c r="E626">
        <v>13.05</v>
      </c>
    </row>
    <row r="627" spans="1:5">
      <c r="A627" t="s">
        <v>900</v>
      </c>
      <c r="B627" t="s">
        <v>502</v>
      </c>
      <c r="C627" s="1">
        <v>45727.343007002317</v>
      </c>
      <c r="D627" t="s">
        <v>10</v>
      </c>
      <c r="E627">
        <v>15.38</v>
      </c>
    </row>
    <row r="628" spans="1:5">
      <c r="A628" t="s">
        <v>901</v>
      </c>
      <c r="B628" t="s">
        <v>902</v>
      </c>
      <c r="C628" s="1">
        <v>45887.343007002317</v>
      </c>
      <c r="D628" t="s">
        <v>13</v>
      </c>
      <c r="E628">
        <v>11.65</v>
      </c>
    </row>
    <row r="629" spans="1:5">
      <c r="A629" t="s">
        <v>903</v>
      </c>
      <c r="B629" t="s">
        <v>495</v>
      </c>
      <c r="C629" s="1">
        <v>45665.343007002317</v>
      </c>
      <c r="D629" t="s">
        <v>13</v>
      </c>
      <c r="E629">
        <v>11.17</v>
      </c>
    </row>
    <row r="630" spans="1:5">
      <c r="A630" t="s">
        <v>904</v>
      </c>
      <c r="B630" t="s">
        <v>128</v>
      </c>
      <c r="C630" s="1">
        <v>45847.343007002317</v>
      </c>
      <c r="D630" t="s">
        <v>50</v>
      </c>
      <c r="E630">
        <v>5.68</v>
      </c>
    </row>
    <row r="631" spans="1:5">
      <c r="A631" t="s">
        <v>905</v>
      </c>
      <c r="B631" t="s">
        <v>110</v>
      </c>
      <c r="C631" s="1">
        <v>45870.343007002317</v>
      </c>
      <c r="D631" t="s">
        <v>50</v>
      </c>
      <c r="E631">
        <v>4.29</v>
      </c>
    </row>
    <row r="632" spans="1:5">
      <c r="A632" t="s">
        <v>906</v>
      </c>
      <c r="B632" t="s">
        <v>329</v>
      </c>
      <c r="C632" s="1">
        <v>45959.343007002317</v>
      </c>
      <c r="D632" t="s">
        <v>50</v>
      </c>
      <c r="E632">
        <v>4.8600000000000003</v>
      </c>
    </row>
    <row r="633" spans="1:5">
      <c r="A633" t="s">
        <v>907</v>
      </c>
      <c r="B633" t="s">
        <v>793</v>
      </c>
      <c r="C633" s="1">
        <v>45777.343007002317</v>
      </c>
      <c r="D633" t="s">
        <v>10</v>
      </c>
      <c r="E633">
        <v>17.420000000000002</v>
      </c>
    </row>
    <row r="634" spans="1:5">
      <c r="A634" t="s">
        <v>908</v>
      </c>
      <c r="B634" t="s">
        <v>35</v>
      </c>
      <c r="C634" s="1">
        <v>45762.343007002317</v>
      </c>
      <c r="D634" t="s">
        <v>50</v>
      </c>
      <c r="E634">
        <v>5.69</v>
      </c>
    </row>
    <row r="635" spans="1:5">
      <c r="A635" t="s">
        <v>909</v>
      </c>
      <c r="B635" t="s">
        <v>47</v>
      </c>
      <c r="C635" s="1">
        <v>45686.343007002317</v>
      </c>
      <c r="D635" t="s">
        <v>10</v>
      </c>
      <c r="E635">
        <v>14.41</v>
      </c>
    </row>
    <row r="636" spans="1:5">
      <c r="A636" t="s">
        <v>910</v>
      </c>
      <c r="B636" t="s">
        <v>159</v>
      </c>
      <c r="C636" s="1">
        <v>45797.343007002317</v>
      </c>
      <c r="D636" t="s">
        <v>50</v>
      </c>
      <c r="E636">
        <v>5.53</v>
      </c>
    </row>
    <row r="637" spans="1:5">
      <c r="A637" t="s">
        <v>911</v>
      </c>
      <c r="B637" t="s">
        <v>439</v>
      </c>
      <c r="C637" s="1">
        <v>45941.343007002317</v>
      </c>
      <c r="D637" t="s">
        <v>16</v>
      </c>
      <c r="E637">
        <v>11.29</v>
      </c>
    </row>
    <row r="638" spans="1:5">
      <c r="A638" t="s">
        <v>912</v>
      </c>
      <c r="B638" t="s">
        <v>331</v>
      </c>
      <c r="C638" s="1">
        <v>45614.343007002317</v>
      </c>
      <c r="D638" t="s">
        <v>13</v>
      </c>
      <c r="E638">
        <v>13.87</v>
      </c>
    </row>
    <row r="639" spans="1:5">
      <c r="A639" t="s">
        <v>913</v>
      </c>
      <c r="B639" t="s">
        <v>230</v>
      </c>
      <c r="C639" s="1">
        <v>45634.343007002317</v>
      </c>
      <c r="D639" t="s">
        <v>50</v>
      </c>
      <c r="E639">
        <v>5.09</v>
      </c>
    </row>
    <row r="640" spans="1:5">
      <c r="A640" t="s">
        <v>914</v>
      </c>
      <c r="B640" t="s">
        <v>248</v>
      </c>
      <c r="C640" s="1">
        <v>45721.343007002317</v>
      </c>
      <c r="D640" t="s">
        <v>7</v>
      </c>
      <c r="E640">
        <v>35.270000000000003</v>
      </c>
    </row>
    <row r="641" spans="1:5">
      <c r="A641" t="s">
        <v>915</v>
      </c>
      <c r="B641" t="s">
        <v>682</v>
      </c>
      <c r="C641" s="1">
        <v>45768.343007002317</v>
      </c>
      <c r="D641" t="s">
        <v>13</v>
      </c>
      <c r="E641">
        <v>10.83</v>
      </c>
    </row>
    <row r="642" spans="1:5">
      <c r="A642" t="s">
        <v>916</v>
      </c>
      <c r="B642" t="s">
        <v>497</v>
      </c>
      <c r="C642" s="1">
        <v>45736.343007002317</v>
      </c>
      <c r="D642" t="s">
        <v>13</v>
      </c>
      <c r="E642">
        <v>11.02</v>
      </c>
    </row>
    <row r="643" spans="1:5">
      <c r="A643" t="s">
        <v>917</v>
      </c>
      <c r="B643" t="s">
        <v>918</v>
      </c>
      <c r="C643" s="1">
        <v>45837.343007002317</v>
      </c>
      <c r="D643" t="s">
        <v>50</v>
      </c>
      <c r="E643">
        <v>5.19</v>
      </c>
    </row>
    <row r="644" spans="1:5">
      <c r="A644" t="s">
        <v>919</v>
      </c>
      <c r="B644" t="s">
        <v>434</v>
      </c>
      <c r="C644" s="1">
        <v>45815.343007002317</v>
      </c>
      <c r="D644" t="s">
        <v>29</v>
      </c>
      <c r="E644">
        <v>20.329999999999998</v>
      </c>
    </row>
    <row r="645" spans="1:5">
      <c r="A645" t="s">
        <v>920</v>
      </c>
      <c r="B645" t="s">
        <v>682</v>
      </c>
      <c r="C645" s="1">
        <v>45721.343007002317</v>
      </c>
      <c r="D645" t="s">
        <v>50</v>
      </c>
      <c r="E645">
        <v>5.27</v>
      </c>
    </row>
    <row r="646" spans="1:5">
      <c r="A646" t="s">
        <v>921</v>
      </c>
      <c r="B646" t="s">
        <v>922</v>
      </c>
      <c r="C646" s="1">
        <v>45653.343007002317</v>
      </c>
      <c r="D646" t="s">
        <v>13</v>
      </c>
      <c r="E646">
        <v>11.35</v>
      </c>
    </row>
    <row r="647" spans="1:5">
      <c r="A647" t="s">
        <v>923</v>
      </c>
      <c r="B647" t="s">
        <v>636</v>
      </c>
      <c r="C647" s="1">
        <v>45743.343007002317</v>
      </c>
      <c r="D647" t="s">
        <v>7</v>
      </c>
      <c r="E647">
        <v>36.72</v>
      </c>
    </row>
    <row r="648" spans="1:5">
      <c r="A648" t="s">
        <v>924</v>
      </c>
      <c r="B648" t="s">
        <v>43</v>
      </c>
      <c r="C648" s="1">
        <v>45912.343007002317</v>
      </c>
      <c r="D648" t="s">
        <v>13</v>
      </c>
      <c r="E648">
        <v>13.82</v>
      </c>
    </row>
    <row r="649" spans="1:5">
      <c r="A649" t="s">
        <v>925</v>
      </c>
      <c r="B649" t="s">
        <v>331</v>
      </c>
      <c r="C649" s="1">
        <v>45956.343007002317</v>
      </c>
      <c r="D649" t="s">
        <v>7</v>
      </c>
      <c r="E649">
        <v>39.36</v>
      </c>
    </row>
    <row r="650" spans="1:5">
      <c r="A650" t="s">
        <v>926</v>
      </c>
      <c r="B650" t="s">
        <v>307</v>
      </c>
      <c r="C650" s="1">
        <v>45596.343007002317</v>
      </c>
      <c r="D650" t="s">
        <v>10</v>
      </c>
      <c r="E650">
        <v>12.57</v>
      </c>
    </row>
    <row r="651" spans="1:5">
      <c r="A651" t="s">
        <v>927</v>
      </c>
      <c r="B651" t="s">
        <v>192</v>
      </c>
      <c r="C651" s="1">
        <v>45943.343007002317</v>
      </c>
      <c r="D651" t="s">
        <v>16</v>
      </c>
      <c r="E651">
        <v>11.31</v>
      </c>
    </row>
    <row r="652" spans="1:5">
      <c r="A652" t="s">
        <v>928</v>
      </c>
      <c r="B652" t="s">
        <v>544</v>
      </c>
      <c r="C652" s="1">
        <v>45785.343007002317</v>
      </c>
      <c r="D652" t="s">
        <v>13</v>
      </c>
      <c r="E652">
        <v>9.83</v>
      </c>
    </row>
    <row r="653" spans="1:5">
      <c r="A653" t="s">
        <v>929</v>
      </c>
      <c r="B653" t="s">
        <v>134</v>
      </c>
      <c r="C653" s="1">
        <v>45786.343007002317</v>
      </c>
      <c r="D653" t="s">
        <v>50</v>
      </c>
      <c r="E653">
        <v>5.45</v>
      </c>
    </row>
    <row r="654" spans="1:5">
      <c r="A654" t="s">
        <v>930</v>
      </c>
      <c r="B654" t="s">
        <v>558</v>
      </c>
      <c r="C654" s="1">
        <v>45907.343007002317</v>
      </c>
      <c r="D654" t="s">
        <v>10</v>
      </c>
      <c r="E654">
        <v>16.64</v>
      </c>
    </row>
    <row r="655" spans="1:5">
      <c r="A655" t="s">
        <v>931</v>
      </c>
      <c r="B655" t="s">
        <v>62</v>
      </c>
      <c r="C655" s="1">
        <v>45712.343007002317</v>
      </c>
      <c r="D655" t="s">
        <v>16</v>
      </c>
      <c r="E655">
        <v>9.41</v>
      </c>
    </row>
    <row r="656" spans="1:5">
      <c r="A656" t="s">
        <v>932</v>
      </c>
      <c r="B656" t="s">
        <v>230</v>
      </c>
      <c r="C656" s="1">
        <v>45729.343007002317</v>
      </c>
      <c r="D656" t="s">
        <v>50</v>
      </c>
      <c r="E656">
        <v>5.65</v>
      </c>
    </row>
    <row r="657" spans="1:5">
      <c r="A657" t="s">
        <v>933</v>
      </c>
      <c r="B657" t="s">
        <v>100</v>
      </c>
      <c r="C657" s="1">
        <v>45653.343007002317</v>
      </c>
      <c r="D657" t="s">
        <v>29</v>
      </c>
      <c r="E657">
        <v>25.16</v>
      </c>
    </row>
    <row r="658" spans="1:5">
      <c r="A658" t="s">
        <v>934</v>
      </c>
      <c r="B658" t="s">
        <v>370</v>
      </c>
      <c r="C658" s="1">
        <v>45639.343007002317</v>
      </c>
      <c r="D658" t="s">
        <v>50</v>
      </c>
      <c r="E658">
        <v>4.93</v>
      </c>
    </row>
    <row r="659" spans="1:5">
      <c r="A659" t="s">
        <v>935</v>
      </c>
      <c r="B659" t="s">
        <v>469</v>
      </c>
      <c r="C659" s="1">
        <v>45768.343007002317</v>
      </c>
      <c r="D659" t="s">
        <v>7</v>
      </c>
      <c r="E659">
        <v>32.729999999999997</v>
      </c>
    </row>
    <row r="660" spans="1:5">
      <c r="A660" t="s">
        <v>936</v>
      </c>
      <c r="B660" t="s">
        <v>52</v>
      </c>
      <c r="C660" s="1">
        <v>45755.343007002317</v>
      </c>
      <c r="D660" t="s">
        <v>7</v>
      </c>
      <c r="E660">
        <v>36.64</v>
      </c>
    </row>
    <row r="661" spans="1:5">
      <c r="A661" t="s">
        <v>937</v>
      </c>
      <c r="B661" t="s">
        <v>495</v>
      </c>
      <c r="C661" s="1">
        <v>45768.343007002317</v>
      </c>
      <c r="D661" t="s">
        <v>29</v>
      </c>
      <c r="E661">
        <v>29.31</v>
      </c>
    </row>
    <row r="662" spans="1:5">
      <c r="A662" t="s">
        <v>938</v>
      </c>
      <c r="B662" t="s">
        <v>713</v>
      </c>
      <c r="C662" s="1">
        <v>45912.343007002317</v>
      </c>
      <c r="D662" t="s">
        <v>10</v>
      </c>
      <c r="E662">
        <v>14.35</v>
      </c>
    </row>
    <row r="663" spans="1:5">
      <c r="A663" t="s">
        <v>939</v>
      </c>
      <c r="B663" t="s">
        <v>571</v>
      </c>
      <c r="C663" s="1">
        <v>45898.343007002317</v>
      </c>
      <c r="D663" t="s">
        <v>16</v>
      </c>
      <c r="E663">
        <v>10.19</v>
      </c>
    </row>
    <row r="664" spans="1:5">
      <c r="A664" t="s">
        <v>940</v>
      </c>
      <c r="B664" t="s">
        <v>147</v>
      </c>
      <c r="C664" s="1">
        <v>45744.343007002317</v>
      </c>
      <c r="D664" t="s">
        <v>50</v>
      </c>
      <c r="E664">
        <v>5.0599999999999996</v>
      </c>
    </row>
    <row r="665" spans="1:5">
      <c r="A665" t="s">
        <v>941</v>
      </c>
      <c r="B665" t="s">
        <v>219</v>
      </c>
      <c r="C665" s="1">
        <v>45675.343007002317</v>
      </c>
      <c r="D665" t="s">
        <v>7</v>
      </c>
      <c r="E665">
        <v>41.45</v>
      </c>
    </row>
    <row r="666" spans="1:5">
      <c r="A666" t="s">
        <v>942</v>
      </c>
      <c r="B666" t="s">
        <v>190</v>
      </c>
      <c r="C666" s="1">
        <v>45808.343007002317</v>
      </c>
      <c r="D666" t="s">
        <v>10</v>
      </c>
      <c r="E666">
        <v>12.37</v>
      </c>
    </row>
    <row r="667" spans="1:5">
      <c r="A667" t="s">
        <v>943</v>
      </c>
      <c r="B667" t="s">
        <v>9</v>
      </c>
      <c r="C667" s="1">
        <v>45798.343007002317</v>
      </c>
      <c r="D667" t="s">
        <v>29</v>
      </c>
      <c r="E667">
        <v>23.62</v>
      </c>
    </row>
    <row r="668" spans="1:5">
      <c r="A668" t="s">
        <v>944</v>
      </c>
      <c r="B668" t="s">
        <v>246</v>
      </c>
      <c r="C668" s="1">
        <v>45847.343007002317</v>
      </c>
      <c r="D668" t="s">
        <v>13</v>
      </c>
      <c r="E668">
        <v>13.07</v>
      </c>
    </row>
    <row r="669" spans="1:5">
      <c r="A669" t="s">
        <v>945</v>
      </c>
      <c r="B669" t="s">
        <v>820</v>
      </c>
      <c r="C669" s="1">
        <v>45824.343007002317</v>
      </c>
      <c r="D669" t="s">
        <v>7</v>
      </c>
      <c r="E669">
        <v>35.21</v>
      </c>
    </row>
    <row r="670" spans="1:5">
      <c r="A670" t="s">
        <v>946</v>
      </c>
      <c r="B670" t="s">
        <v>400</v>
      </c>
      <c r="C670" s="1">
        <v>45759.343007002317</v>
      </c>
      <c r="D670" t="s">
        <v>29</v>
      </c>
      <c r="E670">
        <v>22.04</v>
      </c>
    </row>
    <row r="671" spans="1:5">
      <c r="A671" t="s">
        <v>947</v>
      </c>
      <c r="B671" t="s">
        <v>114</v>
      </c>
      <c r="C671" s="1">
        <v>45822.343007002317</v>
      </c>
      <c r="D671" t="s">
        <v>50</v>
      </c>
      <c r="E671">
        <v>4.0199999999999996</v>
      </c>
    </row>
    <row r="672" spans="1:5">
      <c r="A672" t="s">
        <v>948</v>
      </c>
      <c r="B672" t="s">
        <v>134</v>
      </c>
      <c r="C672" s="1">
        <v>45742.343007002317</v>
      </c>
      <c r="D672" t="s">
        <v>16</v>
      </c>
      <c r="E672">
        <v>9.75</v>
      </c>
    </row>
    <row r="673" spans="1:5">
      <c r="A673" t="s">
        <v>949</v>
      </c>
      <c r="B673" t="s">
        <v>804</v>
      </c>
      <c r="C673" s="1">
        <v>45615.343007002317</v>
      </c>
      <c r="D673" t="s">
        <v>7</v>
      </c>
      <c r="E673">
        <v>46.12</v>
      </c>
    </row>
    <row r="674" spans="1:5">
      <c r="A674" t="s">
        <v>950</v>
      </c>
      <c r="B674" t="s">
        <v>795</v>
      </c>
      <c r="C674" s="1">
        <v>45642.343007002317</v>
      </c>
      <c r="D674" t="s">
        <v>7</v>
      </c>
      <c r="E674">
        <v>32.83</v>
      </c>
    </row>
    <row r="675" spans="1:5">
      <c r="A675" t="s">
        <v>951</v>
      </c>
      <c r="B675" t="s">
        <v>952</v>
      </c>
      <c r="C675" s="1">
        <v>45828.343007002317</v>
      </c>
      <c r="D675" t="s">
        <v>50</v>
      </c>
      <c r="E675">
        <v>4.38</v>
      </c>
    </row>
    <row r="676" spans="1:5">
      <c r="A676" t="s">
        <v>953</v>
      </c>
      <c r="B676" t="s">
        <v>250</v>
      </c>
      <c r="C676" s="1">
        <v>45900.343007002317</v>
      </c>
      <c r="D676" t="s">
        <v>13</v>
      </c>
      <c r="E676">
        <v>11.09</v>
      </c>
    </row>
    <row r="677" spans="1:5">
      <c r="A677" t="s">
        <v>954</v>
      </c>
      <c r="B677" t="s">
        <v>606</v>
      </c>
      <c r="C677" s="1">
        <v>45609.343007002317</v>
      </c>
      <c r="D677" t="s">
        <v>10</v>
      </c>
      <c r="E677">
        <v>16.39</v>
      </c>
    </row>
    <row r="678" spans="1:5">
      <c r="A678" t="s">
        <v>955</v>
      </c>
      <c r="B678" t="s">
        <v>323</v>
      </c>
      <c r="C678" s="1">
        <v>45738.343007002317</v>
      </c>
      <c r="D678" t="s">
        <v>16</v>
      </c>
      <c r="E678">
        <v>10.56</v>
      </c>
    </row>
    <row r="679" spans="1:5">
      <c r="A679" t="s">
        <v>956</v>
      </c>
      <c r="B679" t="s">
        <v>331</v>
      </c>
      <c r="C679" s="1">
        <v>45596.343007002317</v>
      </c>
      <c r="D679" t="s">
        <v>7</v>
      </c>
      <c r="E679">
        <v>38.659999999999997</v>
      </c>
    </row>
    <row r="680" spans="1:5">
      <c r="A680" t="s">
        <v>957</v>
      </c>
      <c r="B680" t="s">
        <v>258</v>
      </c>
      <c r="C680" s="1">
        <v>45649.343007002317</v>
      </c>
      <c r="D680" t="s">
        <v>16</v>
      </c>
      <c r="E680">
        <v>11.04</v>
      </c>
    </row>
    <row r="681" spans="1:5">
      <c r="A681" t="s">
        <v>958</v>
      </c>
      <c r="B681" t="s">
        <v>896</v>
      </c>
      <c r="C681" s="1">
        <v>45854.343007002317</v>
      </c>
      <c r="D681" t="s">
        <v>7</v>
      </c>
      <c r="E681">
        <v>41.75</v>
      </c>
    </row>
    <row r="682" spans="1:5">
      <c r="A682" t="s">
        <v>959</v>
      </c>
      <c r="B682" t="s">
        <v>493</v>
      </c>
      <c r="C682" s="1">
        <v>45739.343007002317</v>
      </c>
      <c r="D682" t="s">
        <v>16</v>
      </c>
      <c r="E682">
        <v>11.58</v>
      </c>
    </row>
    <row r="683" spans="1:5">
      <c r="A683" t="s">
        <v>960</v>
      </c>
      <c r="B683" t="s">
        <v>108</v>
      </c>
      <c r="C683" s="1">
        <v>45607.343007002317</v>
      </c>
      <c r="D683" t="s">
        <v>29</v>
      </c>
      <c r="E683">
        <v>28.18</v>
      </c>
    </row>
    <row r="684" spans="1:5">
      <c r="A684" t="s">
        <v>961</v>
      </c>
      <c r="B684" t="s">
        <v>217</v>
      </c>
      <c r="C684" s="1">
        <v>45925.343007002317</v>
      </c>
      <c r="D684" t="s">
        <v>7</v>
      </c>
      <c r="E684">
        <v>36.049999999999997</v>
      </c>
    </row>
    <row r="685" spans="1:5">
      <c r="A685" t="s">
        <v>962</v>
      </c>
      <c r="B685" t="s">
        <v>151</v>
      </c>
      <c r="C685" s="1">
        <v>45819.343007002317</v>
      </c>
      <c r="D685" t="s">
        <v>16</v>
      </c>
      <c r="E685">
        <v>9.09</v>
      </c>
    </row>
    <row r="686" spans="1:5">
      <c r="A686" t="s">
        <v>963</v>
      </c>
      <c r="B686" t="s">
        <v>439</v>
      </c>
      <c r="C686" s="1">
        <v>45867.343007002317</v>
      </c>
      <c r="D686" t="s">
        <v>10</v>
      </c>
      <c r="E686">
        <v>12.75</v>
      </c>
    </row>
    <row r="687" spans="1:5">
      <c r="A687" t="s">
        <v>964</v>
      </c>
      <c r="B687" t="s">
        <v>694</v>
      </c>
      <c r="C687" s="1">
        <v>45953.343007002317</v>
      </c>
      <c r="D687" t="s">
        <v>29</v>
      </c>
      <c r="E687">
        <v>23.37</v>
      </c>
    </row>
    <row r="688" spans="1:5">
      <c r="A688" t="s">
        <v>965</v>
      </c>
      <c r="B688" t="s">
        <v>537</v>
      </c>
      <c r="C688" s="1">
        <v>45751.343007002317</v>
      </c>
      <c r="D688" t="s">
        <v>29</v>
      </c>
      <c r="E688">
        <v>30</v>
      </c>
    </row>
    <row r="689" spans="1:5">
      <c r="A689" t="s">
        <v>966</v>
      </c>
      <c r="B689" t="s">
        <v>378</v>
      </c>
      <c r="C689" s="1">
        <v>45603.343007002317</v>
      </c>
      <c r="D689" t="s">
        <v>10</v>
      </c>
      <c r="E689">
        <v>14.43</v>
      </c>
    </row>
    <row r="690" spans="1:5">
      <c r="A690" t="s">
        <v>967</v>
      </c>
      <c r="B690" t="s">
        <v>469</v>
      </c>
      <c r="C690" s="1">
        <v>45717.343007002317</v>
      </c>
      <c r="D690" t="s">
        <v>16</v>
      </c>
      <c r="E690">
        <v>8.8800000000000008</v>
      </c>
    </row>
    <row r="691" spans="1:5">
      <c r="A691" t="s">
        <v>968</v>
      </c>
      <c r="B691" t="s">
        <v>836</v>
      </c>
      <c r="C691" s="1">
        <v>45943.343007002317</v>
      </c>
      <c r="D691" t="s">
        <v>50</v>
      </c>
      <c r="E691">
        <v>5.52</v>
      </c>
    </row>
    <row r="692" spans="1:5">
      <c r="A692" t="s">
        <v>969</v>
      </c>
      <c r="B692" t="s">
        <v>334</v>
      </c>
      <c r="C692" s="1">
        <v>45759.343007002317</v>
      </c>
      <c r="D692" t="s">
        <v>10</v>
      </c>
      <c r="E692">
        <v>15.25</v>
      </c>
    </row>
    <row r="693" spans="1:5">
      <c r="A693" t="s">
        <v>970</v>
      </c>
      <c r="B693" t="s">
        <v>12</v>
      </c>
      <c r="C693" s="1">
        <v>45685.343007002317</v>
      </c>
      <c r="D693" t="s">
        <v>16</v>
      </c>
      <c r="E693">
        <v>8.6</v>
      </c>
    </row>
    <row r="694" spans="1:5">
      <c r="A694" t="s">
        <v>971</v>
      </c>
      <c r="B694" t="s">
        <v>31</v>
      </c>
      <c r="C694" s="1">
        <v>45731.343007002317</v>
      </c>
      <c r="D694" t="s">
        <v>10</v>
      </c>
      <c r="E694">
        <v>14.28</v>
      </c>
    </row>
    <row r="695" spans="1:5">
      <c r="A695" t="s">
        <v>972</v>
      </c>
      <c r="B695" t="s">
        <v>130</v>
      </c>
      <c r="C695" s="1">
        <v>45781.343007002317</v>
      </c>
      <c r="D695" t="s">
        <v>10</v>
      </c>
      <c r="E695">
        <v>14.49</v>
      </c>
    </row>
    <row r="696" spans="1:5">
      <c r="A696" t="s">
        <v>973</v>
      </c>
      <c r="B696" t="s">
        <v>268</v>
      </c>
      <c r="C696" s="1">
        <v>45911.343007002317</v>
      </c>
      <c r="D696" t="s">
        <v>7</v>
      </c>
      <c r="E696">
        <v>44.06</v>
      </c>
    </row>
    <row r="697" spans="1:5">
      <c r="A697" t="s">
        <v>974</v>
      </c>
      <c r="B697" t="s">
        <v>380</v>
      </c>
      <c r="C697" s="1">
        <v>45773.343007002317</v>
      </c>
      <c r="D697" t="s">
        <v>16</v>
      </c>
      <c r="E697">
        <v>8.08</v>
      </c>
    </row>
    <row r="698" spans="1:5">
      <c r="A698" t="s">
        <v>975</v>
      </c>
      <c r="B698" t="s">
        <v>31</v>
      </c>
      <c r="C698" s="1">
        <v>45623.343007002317</v>
      </c>
      <c r="D698" t="s">
        <v>50</v>
      </c>
      <c r="E698">
        <v>4.54</v>
      </c>
    </row>
    <row r="699" spans="1:5">
      <c r="A699" t="s">
        <v>976</v>
      </c>
      <c r="B699" t="s">
        <v>885</v>
      </c>
      <c r="C699" s="1">
        <v>45815.343007002317</v>
      </c>
      <c r="D699" t="s">
        <v>7</v>
      </c>
      <c r="E699">
        <v>40.28</v>
      </c>
    </row>
    <row r="700" spans="1:5">
      <c r="A700" t="s">
        <v>977</v>
      </c>
      <c r="B700" t="s">
        <v>828</v>
      </c>
      <c r="C700" s="1">
        <v>45952.343007002317</v>
      </c>
      <c r="D700" t="s">
        <v>10</v>
      </c>
      <c r="E700">
        <v>13.61</v>
      </c>
    </row>
    <row r="701" spans="1:5">
      <c r="A701" t="s">
        <v>978</v>
      </c>
      <c r="B701" t="s">
        <v>655</v>
      </c>
      <c r="C701" s="1">
        <v>45636.343007002317</v>
      </c>
      <c r="D701" t="s">
        <v>13</v>
      </c>
      <c r="E701">
        <v>12.62</v>
      </c>
    </row>
    <row r="702" spans="1:5">
      <c r="A702" t="s">
        <v>979</v>
      </c>
      <c r="B702" t="s">
        <v>215</v>
      </c>
      <c r="C702" s="1">
        <v>45823.343007002317</v>
      </c>
      <c r="D702" t="s">
        <v>10</v>
      </c>
      <c r="E702">
        <v>14.89</v>
      </c>
    </row>
    <row r="703" spans="1:5">
      <c r="A703" t="s">
        <v>980</v>
      </c>
      <c r="B703" t="s">
        <v>228</v>
      </c>
      <c r="C703" s="1">
        <v>45787.343007002317</v>
      </c>
      <c r="D703" t="s">
        <v>10</v>
      </c>
      <c r="E703">
        <v>14.17</v>
      </c>
    </row>
    <row r="704" spans="1:5">
      <c r="A704" t="s">
        <v>981</v>
      </c>
      <c r="B704" t="s">
        <v>396</v>
      </c>
      <c r="C704" s="1">
        <v>45740.343007002317</v>
      </c>
      <c r="D704" t="s">
        <v>16</v>
      </c>
      <c r="E704">
        <v>11.8</v>
      </c>
    </row>
    <row r="705" spans="1:5">
      <c r="A705" t="s">
        <v>982</v>
      </c>
      <c r="B705" t="s">
        <v>96</v>
      </c>
      <c r="C705" s="1">
        <v>45796.343007002317</v>
      </c>
      <c r="D705" t="s">
        <v>16</v>
      </c>
      <c r="E705">
        <v>10.53</v>
      </c>
    </row>
    <row r="706" spans="1:5">
      <c r="A706" t="s">
        <v>983</v>
      </c>
      <c r="B706" t="s">
        <v>560</v>
      </c>
      <c r="C706" s="1">
        <v>45807.343007002317</v>
      </c>
      <c r="D706" t="s">
        <v>7</v>
      </c>
      <c r="E706">
        <v>34.08</v>
      </c>
    </row>
    <row r="707" spans="1:5">
      <c r="A707" t="s">
        <v>984</v>
      </c>
      <c r="B707" t="s">
        <v>344</v>
      </c>
      <c r="C707" s="1">
        <v>45815.343007002317</v>
      </c>
      <c r="D707" t="s">
        <v>50</v>
      </c>
      <c r="E707">
        <v>5.12</v>
      </c>
    </row>
    <row r="708" spans="1:5">
      <c r="A708" t="s">
        <v>985</v>
      </c>
      <c r="B708" t="s">
        <v>560</v>
      </c>
      <c r="C708" s="1">
        <v>45835.343007002317</v>
      </c>
      <c r="D708" t="s">
        <v>7</v>
      </c>
      <c r="E708">
        <v>44.49</v>
      </c>
    </row>
    <row r="709" spans="1:5">
      <c r="A709" t="s">
        <v>986</v>
      </c>
      <c r="B709" t="s">
        <v>256</v>
      </c>
      <c r="C709" s="1">
        <v>45641.343007002317</v>
      </c>
      <c r="D709" t="s">
        <v>29</v>
      </c>
      <c r="E709">
        <v>27.08</v>
      </c>
    </row>
    <row r="710" spans="1:5">
      <c r="A710" t="s">
        <v>987</v>
      </c>
      <c r="B710" t="s">
        <v>179</v>
      </c>
      <c r="C710" s="1">
        <v>45630.343007002317</v>
      </c>
      <c r="D710" t="s">
        <v>10</v>
      </c>
      <c r="E710">
        <v>13.03</v>
      </c>
    </row>
    <row r="711" spans="1:5">
      <c r="A711" t="s">
        <v>988</v>
      </c>
      <c r="B711" t="s">
        <v>493</v>
      </c>
      <c r="C711" s="1">
        <v>45848.343007002317</v>
      </c>
      <c r="D711" t="s">
        <v>13</v>
      </c>
      <c r="E711">
        <v>14.27</v>
      </c>
    </row>
    <row r="712" spans="1:5">
      <c r="A712" t="s">
        <v>989</v>
      </c>
      <c r="B712" t="s">
        <v>389</v>
      </c>
      <c r="C712" s="1">
        <v>45677.343007002317</v>
      </c>
      <c r="D712" t="s">
        <v>10</v>
      </c>
      <c r="E712">
        <v>14.69</v>
      </c>
    </row>
    <row r="713" spans="1:5">
      <c r="A713" t="s">
        <v>990</v>
      </c>
      <c r="B713" t="s">
        <v>241</v>
      </c>
      <c r="C713" s="1">
        <v>45851.343007002317</v>
      </c>
      <c r="D713" t="s">
        <v>10</v>
      </c>
      <c r="E713">
        <v>12.95</v>
      </c>
    </row>
    <row r="714" spans="1:5">
      <c r="A714" t="s">
        <v>991</v>
      </c>
      <c r="B714" t="s">
        <v>992</v>
      </c>
      <c r="C714" s="1">
        <v>45792.343007002317</v>
      </c>
      <c r="D714" t="s">
        <v>7</v>
      </c>
      <c r="E714">
        <v>34.880000000000003</v>
      </c>
    </row>
    <row r="715" spans="1:5">
      <c r="A715" t="s">
        <v>993</v>
      </c>
      <c r="B715" t="s">
        <v>173</v>
      </c>
      <c r="C715" s="1">
        <v>45898.343007002317</v>
      </c>
      <c r="D715" t="s">
        <v>13</v>
      </c>
      <c r="E715">
        <v>10.07</v>
      </c>
    </row>
    <row r="716" spans="1:5">
      <c r="A716" t="s">
        <v>994</v>
      </c>
      <c r="B716" t="s">
        <v>995</v>
      </c>
      <c r="C716" s="1">
        <v>45605.343007002317</v>
      </c>
      <c r="D716" t="s">
        <v>13</v>
      </c>
      <c r="E716">
        <v>13.46</v>
      </c>
    </row>
    <row r="717" spans="1:5">
      <c r="A717" t="s">
        <v>996</v>
      </c>
      <c r="B717" t="s">
        <v>409</v>
      </c>
      <c r="C717" s="1">
        <v>45907.343007002317</v>
      </c>
      <c r="D717" t="s">
        <v>13</v>
      </c>
      <c r="E717">
        <v>10.19</v>
      </c>
    </row>
    <row r="718" spans="1:5">
      <c r="A718" t="s">
        <v>997</v>
      </c>
      <c r="B718" t="s">
        <v>618</v>
      </c>
      <c r="C718" s="1">
        <v>45881.343007002317</v>
      </c>
      <c r="D718" t="s">
        <v>7</v>
      </c>
      <c r="E718">
        <v>34</v>
      </c>
    </row>
    <row r="719" spans="1:5">
      <c r="A719" t="s">
        <v>998</v>
      </c>
      <c r="B719" t="s">
        <v>98</v>
      </c>
      <c r="C719" s="1">
        <v>45837.343007002317</v>
      </c>
      <c r="D719" t="s">
        <v>10</v>
      </c>
      <c r="E719">
        <v>17.100000000000001</v>
      </c>
    </row>
    <row r="720" spans="1:5">
      <c r="A720" t="s">
        <v>999</v>
      </c>
      <c r="B720" t="s">
        <v>1000</v>
      </c>
      <c r="C720" s="1">
        <v>45846.343007002317</v>
      </c>
      <c r="D720" t="s">
        <v>7</v>
      </c>
      <c r="E720">
        <v>37.51</v>
      </c>
    </row>
    <row r="721" spans="1:5">
      <c r="A721" t="s">
        <v>1001</v>
      </c>
      <c r="B721" t="s">
        <v>398</v>
      </c>
      <c r="C721" s="1">
        <v>45960.343007002317</v>
      </c>
      <c r="D721" t="s">
        <v>16</v>
      </c>
      <c r="E721">
        <v>8.1199999999999992</v>
      </c>
    </row>
    <row r="722" spans="1:5">
      <c r="A722" t="s">
        <v>1002</v>
      </c>
      <c r="B722" t="s">
        <v>305</v>
      </c>
      <c r="C722" s="1">
        <v>45600.343007002317</v>
      </c>
      <c r="D722" t="s">
        <v>16</v>
      </c>
      <c r="E722">
        <v>8.2100000000000009</v>
      </c>
    </row>
    <row r="723" spans="1:5">
      <c r="A723" t="s">
        <v>1003</v>
      </c>
      <c r="B723" t="s">
        <v>284</v>
      </c>
      <c r="C723" s="1">
        <v>45714.343007002317</v>
      </c>
      <c r="D723" t="s">
        <v>7</v>
      </c>
      <c r="E723">
        <v>34.270000000000003</v>
      </c>
    </row>
    <row r="724" spans="1:5">
      <c r="A724" t="s">
        <v>1004</v>
      </c>
      <c r="B724" t="s">
        <v>742</v>
      </c>
      <c r="C724" s="1">
        <v>45884.343007002317</v>
      </c>
      <c r="D724" t="s">
        <v>13</v>
      </c>
      <c r="E724">
        <v>10.62</v>
      </c>
    </row>
    <row r="725" spans="1:5">
      <c r="A725" t="s">
        <v>1005</v>
      </c>
      <c r="B725" t="s">
        <v>429</v>
      </c>
      <c r="C725" s="1">
        <v>45660.343007002317</v>
      </c>
      <c r="D725" t="s">
        <v>10</v>
      </c>
      <c r="E725">
        <v>15.99</v>
      </c>
    </row>
    <row r="726" spans="1:5">
      <c r="A726" t="s">
        <v>1006</v>
      </c>
      <c r="B726" t="s">
        <v>337</v>
      </c>
      <c r="C726" s="1">
        <v>45741.343007002317</v>
      </c>
      <c r="D726" t="s">
        <v>7</v>
      </c>
      <c r="E726">
        <v>34.520000000000003</v>
      </c>
    </row>
    <row r="727" spans="1:5">
      <c r="A727" t="s">
        <v>1007</v>
      </c>
      <c r="B727" t="s">
        <v>246</v>
      </c>
      <c r="C727" s="1">
        <v>45819.343007002317</v>
      </c>
      <c r="D727" t="s">
        <v>7</v>
      </c>
      <c r="E727">
        <v>33.9</v>
      </c>
    </row>
    <row r="728" spans="1:5">
      <c r="A728" t="s">
        <v>1008</v>
      </c>
      <c r="B728" t="s">
        <v>179</v>
      </c>
      <c r="C728" s="1">
        <v>45834.343007002317</v>
      </c>
      <c r="D728" t="s">
        <v>7</v>
      </c>
      <c r="E728">
        <v>44.24</v>
      </c>
    </row>
    <row r="729" spans="1:5">
      <c r="A729" t="s">
        <v>1009</v>
      </c>
      <c r="B729" t="s">
        <v>54</v>
      </c>
      <c r="C729" s="1">
        <v>45772.343007002317</v>
      </c>
      <c r="D729" t="s">
        <v>29</v>
      </c>
      <c r="E729">
        <v>26.71</v>
      </c>
    </row>
    <row r="730" spans="1:5">
      <c r="A730" t="s">
        <v>1010</v>
      </c>
      <c r="B730" t="s">
        <v>891</v>
      </c>
      <c r="C730" s="1">
        <v>45862.343007002317</v>
      </c>
      <c r="D730" t="s">
        <v>16</v>
      </c>
      <c r="E730">
        <v>9.74</v>
      </c>
    </row>
    <row r="731" spans="1:5">
      <c r="A731" t="s">
        <v>1011</v>
      </c>
      <c r="B731" t="s">
        <v>1012</v>
      </c>
      <c r="C731" s="1">
        <v>45936.343007002317</v>
      </c>
      <c r="D731" t="s">
        <v>13</v>
      </c>
      <c r="E731">
        <v>12.24</v>
      </c>
    </row>
    <row r="732" spans="1:5">
      <c r="A732" t="s">
        <v>1013</v>
      </c>
      <c r="B732" t="s">
        <v>72</v>
      </c>
      <c r="C732" s="1">
        <v>45877.343007002317</v>
      </c>
      <c r="D732" t="s">
        <v>50</v>
      </c>
      <c r="E732">
        <v>4.62</v>
      </c>
    </row>
    <row r="733" spans="1:5">
      <c r="A733" t="s">
        <v>1014</v>
      </c>
      <c r="B733" t="s">
        <v>157</v>
      </c>
      <c r="C733" s="1">
        <v>45658.343007002317</v>
      </c>
      <c r="D733" t="s">
        <v>13</v>
      </c>
      <c r="E733">
        <v>11.92</v>
      </c>
    </row>
    <row r="734" spans="1:5">
      <c r="A734" t="s">
        <v>1015</v>
      </c>
      <c r="B734" t="s">
        <v>902</v>
      </c>
      <c r="C734" s="1">
        <v>45812.343007002317</v>
      </c>
      <c r="D734" t="s">
        <v>50</v>
      </c>
      <c r="E734">
        <v>5.01</v>
      </c>
    </row>
    <row r="735" spans="1:5">
      <c r="A735" t="s">
        <v>1016</v>
      </c>
      <c r="B735" t="s">
        <v>213</v>
      </c>
      <c r="C735" s="1">
        <v>45937.343007002317</v>
      </c>
      <c r="D735" t="s">
        <v>29</v>
      </c>
      <c r="E735">
        <v>23.87</v>
      </c>
    </row>
    <row r="736" spans="1:5">
      <c r="A736" t="s">
        <v>1017</v>
      </c>
      <c r="B736" t="s">
        <v>454</v>
      </c>
      <c r="C736" s="1">
        <v>45910.343007002317</v>
      </c>
      <c r="D736" t="s">
        <v>7</v>
      </c>
      <c r="E736">
        <v>46.51</v>
      </c>
    </row>
    <row r="737" spans="1:5">
      <c r="A737" t="s">
        <v>1018</v>
      </c>
      <c r="B737" t="s">
        <v>1019</v>
      </c>
      <c r="C737" s="1">
        <v>45878.343007002317</v>
      </c>
      <c r="D737" t="s">
        <v>29</v>
      </c>
      <c r="E737">
        <v>20.16</v>
      </c>
    </row>
    <row r="738" spans="1:5">
      <c r="A738" t="s">
        <v>1020</v>
      </c>
      <c r="B738" t="s">
        <v>411</v>
      </c>
      <c r="C738" s="1">
        <v>45772.343007002317</v>
      </c>
      <c r="D738" t="s">
        <v>29</v>
      </c>
      <c r="E738">
        <v>27.82</v>
      </c>
    </row>
    <row r="739" spans="1:5">
      <c r="A739" t="s">
        <v>1021</v>
      </c>
      <c r="B739" t="s">
        <v>272</v>
      </c>
      <c r="C739" s="1">
        <v>45693.343007002317</v>
      </c>
      <c r="D739" t="s">
        <v>10</v>
      </c>
      <c r="E739">
        <v>12.75</v>
      </c>
    </row>
    <row r="740" spans="1:5">
      <c r="A740" t="s">
        <v>1022</v>
      </c>
      <c r="B740" t="s">
        <v>898</v>
      </c>
      <c r="C740" s="1">
        <v>45700.343007002317</v>
      </c>
      <c r="D740" t="s">
        <v>16</v>
      </c>
      <c r="E740">
        <v>11.19</v>
      </c>
    </row>
    <row r="741" spans="1:5">
      <c r="A741" t="s">
        <v>1023</v>
      </c>
      <c r="B741" t="s">
        <v>279</v>
      </c>
      <c r="C741" s="1">
        <v>45694.343007002317</v>
      </c>
      <c r="D741" t="s">
        <v>50</v>
      </c>
      <c r="E741">
        <v>5.23</v>
      </c>
    </row>
    <row r="742" spans="1:5">
      <c r="A742" t="s">
        <v>1024</v>
      </c>
      <c r="B742" t="s">
        <v>368</v>
      </c>
      <c r="C742" s="1">
        <v>45906.343007002317</v>
      </c>
      <c r="D742" t="s">
        <v>7</v>
      </c>
      <c r="E742">
        <v>45.49</v>
      </c>
    </row>
    <row r="743" spans="1:5">
      <c r="A743" t="s">
        <v>1025</v>
      </c>
      <c r="B743" t="s">
        <v>723</v>
      </c>
      <c r="C743" s="1">
        <v>45601.343007002317</v>
      </c>
      <c r="D743" t="s">
        <v>50</v>
      </c>
      <c r="E743">
        <v>4.2</v>
      </c>
    </row>
    <row r="744" spans="1:5">
      <c r="A744" t="s">
        <v>1026</v>
      </c>
      <c r="B744" t="s">
        <v>528</v>
      </c>
      <c r="C744" s="1">
        <v>45792.343007002317</v>
      </c>
      <c r="D744" t="s">
        <v>13</v>
      </c>
      <c r="E744">
        <v>12.28</v>
      </c>
    </row>
    <row r="745" spans="1:5">
      <c r="A745" t="s">
        <v>1027</v>
      </c>
      <c r="B745" t="s">
        <v>248</v>
      </c>
      <c r="C745" s="1">
        <v>45946.343007002317</v>
      </c>
      <c r="D745" t="s">
        <v>50</v>
      </c>
      <c r="E745">
        <v>5</v>
      </c>
    </row>
    <row r="746" spans="1:5">
      <c r="A746" t="s">
        <v>1028</v>
      </c>
      <c r="B746" t="s">
        <v>159</v>
      </c>
      <c r="C746" s="1">
        <v>45728.343007002317</v>
      </c>
      <c r="D746" t="s">
        <v>13</v>
      </c>
      <c r="E746">
        <v>12.99</v>
      </c>
    </row>
    <row r="747" spans="1:5">
      <c r="A747" t="s">
        <v>1029</v>
      </c>
      <c r="B747" t="s">
        <v>1030</v>
      </c>
      <c r="C747" s="1">
        <v>45953.343007002317</v>
      </c>
      <c r="D747" t="s">
        <v>16</v>
      </c>
      <c r="E747">
        <v>10.14</v>
      </c>
    </row>
    <row r="748" spans="1:5">
      <c r="A748" t="s">
        <v>1031</v>
      </c>
      <c r="B748" t="s">
        <v>694</v>
      </c>
      <c r="C748" s="1">
        <v>45854.343007002317</v>
      </c>
      <c r="D748" t="s">
        <v>13</v>
      </c>
      <c r="E748">
        <v>12.2</v>
      </c>
    </row>
    <row r="749" spans="1:5">
      <c r="A749" t="s">
        <v>1032</v>
      </c>
      <c r="B749" t="s">
        <v>92</v>
      </c>
      <c r="C749" s="1">
        <v>45618.343007002317</v>
      </c>
      <c r="D749" t="s">
        <v>50</v>
      </c>
      <c r="E749">
        <v>4.8600000000000003</v>
      </c>
    </row>
    <row r="750" spans="1:5">
      <c r="A750" t="s">
        <v>1033</v>
      </c>
      <c r="B750" t="s">
        <v>179</v>
      </c>
      <c r="C750" s="1">
        <v>45648.343007002317</v>
      </c>
      <c r="D750" t="s">
        <v>50</v>
      </c>
      <c r="E750">
        <v>4.62</v>
      </c>
    </row>
    <row r="751" spans="1:5">
      <c r="A751" t="s">
        <v>1034</v>
      </c>
      <c r="B751" t="s">
        <v>752</v>
      </c>
      <c r="C751" s="1">
        <v>45760.343007002317</v>
      </c>
      <c r="D751" t="s">
        <v>13</v>
      </c>
      <c r="E751">
        <v>11.91</v>
      </c>
    </row>
    <row r="752" spans="1:5">
      <c r="A752" t="s">
        <v>1035</v>
      </c>
      <c r="B752" t="s">
        <v>448</v>
      </c>
      <c r="C752" s="1">
        <v>45797.343007002317</v>
      </c>
      <c r="D752" t="s">
        <v>29</v>
      </c>
      <c r="E752">
        <v>21.18</v>
      </c>
    </row>
    <row r="753" spans="1:5">
      <c r="A753" t="s">
        <v>1036</v>
      </c>
      <c r="B753" t="s">
        <v>102</v>
      </c>
      <c r="C753" s="1">
        <v>45678.343007002317</v>
      </c>
      <c r="D753" t="s">
        <v>16</v>
      </c>
      <c r="E753">
        <v>11.85</v>
      </c>
    </row>
    <row r="754" spans="1:5">
      <c r="A754" t="s">
        <v>1037</v>
      </c>
      <c r="B754" t="s">
        <v>487</v>
      </c>
      <c r="C754" s="1">
        <v>45740.343007002317</v>
      </c>
      <c r="D754" t="s">
        <v>10</v>
      </c>
      <c r="E754">
        <v>16.29</v>
      </c>
    </row>
    <row r="755" spans="1:5">
      <c r="A755" t="s">
        <v>1038</v>
      </c>
      <c r="B755" t="s">
        <v>337</v>
      </c>
      <c r="C755" s="1">
        <v>45680.343007002317</v>
      </c>
      <c r="D755" t="s">
        <v>7</v>
      </c>
      <c r="E755">
        <v>47.24</v>
      </c>
    </row>
    <row r="756" spans="1:5">
      <c r="A756" t="s">
        <v>1039</v>
      </c>
      <c r="B756" t="s">
        <v>86</v>
      </c>
      <c r="C756" s="1">
        <v>45673.343007002317</v>
      </c>
      <c r="D756" t="s">
        <v>50</v>
      </c>
      <c r="E756">
        <v>4.45</v>
      </c>
    </row>
    <row r="757" spans="1:5">
      <c r="A757" t="s">
        <v>1040</v>
      </c>
      <c r="B757" t="s">
        <v>317</v>
      </c>
      <c r="C757" s="1">
        <v>45596.343007002317</v>
      </c>
      <c r="D757" t="s">
        <v>7</v>
      </c>
      <c r="E757">
        <v>46.07</v>
      </c>
    </row>
    <row r="758" spans="1:5">
      <c r="A758" t="s">
        <v>1041</v>
      </c>
      <c r="B758" t="s">
        <v>441</v>
      </c>
      <c r="C758" s="1">
        <v>45646.343007002317</v>
      </c>
      <c r="D758" t="s">
        <v>10</v>
      </c>
      <c r="E758">
        <v>16.850000000000001</v>
      </c>
    </row>
    <row r="759" spans="1:5">
      <c r="A759" t="s">
        <v>1042</v>
      </c>
      <c r="B759" t="s">
        <v>870</v>
      </c>
      <c r="C759" s="1">
        <v>45768.343007002317</v>
      </c>
      <c r="D759" t="s">
        <v>7</v>
      </c>
      <c r="E759">
        <v>42.83</v>
      </c>
    </row>
    <row r="760" spans="1:5">
      <c r="A760" t="s">
        <v>1043</v>
      </c>
      <c r="B760" t="s">
        <v>114</v>
      </c>
      <c r="C760" s="1">
        <v>45800.343007002317</v>
      </c>
      <c r="D760" t="s">
        <v>10</v>
      </c>
      <c r="E760">
        <v>15.75</v>
      </c>
    </row>
    <row r="761" spans="1:5">
      <c r="A761" t="s">
        <v>1044</v>
      </c>
      <c r="B761" t="s">
        <v>183</v>
      </c>
      <c r="C761" s="1">
        <v>45855.343007002317</v>
      </c>
      <c r="D761" t="s">
        <v>13</v>
      </c>
      <c r="E761">
        <v>11.12</v>
      </c>
    </row>
    <row r="762" spans="1:5">
      <c r="A762" t="s">
        <v>1045</v>
      </c>
      <c r="B762" t="s">
        <v>349</v>
      </c>
      <c r="C762" s="1">
        <v>45883.343007002317</v>
      </c>
      <c r="D762" t="s">
        <v>29</v>
      </c>
      <c r="E762">
        <v>28.16</v>
      </c>
    </row>
    <row r="763" spans="1:5">
      <c r="A763" t="s">
        <v>1046</v>
      </c>
      <c r="B763" t="s">
        <v>1047</v>
      </c>
      <c r="C763" s="1">
        <v>45629.343007002317</v>
      </c>
      <c r="D763" t="s">
        <v>50</v>
      </c>
      <c r="E763">
        <v>5</v>
      </c>
    </row>
    <row r="764" spans="1:5">
      <c r="A764" t="s">
        <v>1048</v>
      </c>
      <c r="B764" t="s">
        <v>1049</v>
      </c>
      <c r="C764" s="1">
        <v>45943.343007002317</v>
      </c>
      <c r="D764" t="s">
        <v>10</v>
      </c>
      <c r="E764">
        <v>12.43</v>
      </c>
    </row>
    <row r="765" spans="1:5">
      <c r="A765" t="s">
        <v>1050</v>
      </c>
      <c r="B765" t="s">
        <v>344</v>
      </c>
      <c r="C765" s="1">
        <v>45690.343007002317</v>
      </c>
      <c r="D765" t="s">
        <v>7</v>
      </c>
      <c r="E765">
        <v>37.01</v>
      </c>
    </row>
    <row r="766" spans="1:5">
      <c r="A766" t="s">
        <v>1051</v>
      </c>
      <c r="B766" t="s">
        <v>1052</v>
      </c>
      <c r="C766" s="1">
        <v>45667.343007002317</v>
      </c>
      <c r="D766" t="s">
        <v>50</v>
      </c>
      <c r="E766">
        <v>5.87</v>
      </c>
    </row>
    <row r="767" spans="1:5">
      <c r="A767" t="s">
        <v>1053</v>
      </c>
      <c r="B767" t="s">
        <v>96</v>
      </c>
      <c r="C767" s="1">
        <v>45634.343007002317</v>
      </c>
      <c r="D767" t="s">
        <v>29</v>
      </c>
      <c r="E767">
        <v>28.51</v>
      </c>
    </row>
    <row r="768" spans="1:5">
      <c r="A768" t="s">
        <v>1054</v>
      </c>
      <c r="B768" t="s">
        <v>400</v>
      </c>
      <c r="C768" s="1">
        <v>45749.343007002317</v>
      </c>
      <c r="D768" t="s">
        <v>13</v>
      </c>
      <c r="E768">
        <v>14.31</v>
      </c>
    </row>
    <row r="769" spans="1:5">
      <c r="A769" t="s">
        <v>1055</v>
      </c>
      <c r="B769" t="s">
        <v>213</v>
      </c>
      <c r="C769" s="1">
        <v>45845.343007002317</v>
      </c>
      <c r="D769" t="s">
        <v>50</v>
      </c>
      <c r="E769">
        <v>5.26</v>
      </c>
    </row>
    <row r="770" spans="1:5">
      <c r="A770" t="s">
        <v>1056</v>
      </c>
      <c r="B770" t="s">
        <v>469</v>
      </c>
      <c r="C770" s="1">
        <v>45757.343007002317</v>
      </c>
      <c r="D770" t="s">
        <v>10</v>
      </c>
      <c r="E770">
        <v>13.49</v>
      </c>
    </row>
    <row r="771" spans="1:5">
      <c r="A771" t="s">
        <v>1057</v>
      </c>
      <c r="B771" t="s">
        <v>130</v>
      </c>
      <c r="C771" s="1">
        <v>45713.343007002317</v>
      </c>
      <c r="D771" t="s">
        <v>29</v>
      </c>
      <c r="E771">
        <v>21.63</v>
      </c>
    </row>
    <row r="772" spans="1:5">
      <c r="A772" t="s">
        <v>1058</v>
      </c>
      <c r="B772" t="s">
        <v>96</v>
      </c>
      <c r="C772" s="1">
        <v>45854.343007002317</v>
      </c>
      <c r="D772" t="s">
        <v>7</v>
      </c>
      <c r="E772">
        <v>34.99</v>
      </c>
    </row>
    <row r="773" spans="1:5">
      <c r="A773" t="s">
        <v>1059</v>
      </c>
      <c r="B773" t="s">
        <v>136</v>
      </c>
      <c r="C773" s="1">
        <v>45901.343007002317</v>
      </c>
      <c r="D773" t="s">
        <v>29</v>
      </c>
      <c r="E773">
        <v>20.2</v>
      </c>
    </row>
    <row r="774" spans="1:5">
      <c r="A774" t="s">
        <v>1060</v>
      </c>
      <c r="B774" t="s">
        <v>31</v>
      </c>
      <c r="C774" s="1">
        <v>45863.343007002317</v>
      </c>
      <c r="D774" t="s">
        <v>29</v>
      </c>
      <c r="E774">
        <v>23.91</v>
      </c>
    </row>
    <row r="775" spans="1:5">
      <c r="A775" t="s">
        <v>1061</v>
      </c>
      <c r="B775" t="s">
        <v>28</v>
      </c>
      <c r="C775" s="1">
        <v>45649.343007002317</v>
      </c>
      <c r="D775" t="s">
        <v>16</v>
      </c>
      <c r="E775">
        <v>8.77</v>
      </c>
    </row>
    <row r="776" spans="1:5">
      <c r="A776" t="s">
        <v>1062</v>
      </c>
      <c r="B776" t="s">
        <v>136</v>
      </c>
      <c r="C776" s="1">
        <v>45831.343007002317</v>
      </c>
      <c r="D776" t="s">
        <v>29</v>
      </c>
      <c r="E776">
        <v>24.12</v>
      </c>
    </row>
    <row r="777" spans="1:5">
      <c r="A777" t="s">
        <v>1063</v>
      </c>
      <c r="B777" t="s">
        <v>112</v>
      </c>
      <c r="C777" s="1">
        <v>45817.343007002317</v>
      </c>
      <c r="D777" t="s">
        <v>29</v>
      </c>
      <c r="E777">
        <v>29.35</v>
      </c>
    </row>
    <row r="778" spans="1:5">
      <c r="A778" t="s">
        <v>1064</v>
      </c>
      <c r="B778" t="s">
        <v>1065</v>
      </c>
      <c r="C778" s="1">
        <v>45846.343007002317</v>
      </c>
      <c r="D778" t="s">
        <v>50</v>
      </c>
      <c r="E778">
        <v>4.8600000000000003</v>
      </c>
    </row>
    <row r="779" spans="1:5">
      <c r="A779" t="s">
        <v>1066</v>
      </c>
      <c r="B779" t="s">
        <v>1030</v>
      </c>
      <c r="C779" s="1">
        <v>45908.343007002317</v>
      </c>
      <c r="D779" t="s">
        <v>7</v>
      </c>
      <c r="E779">
        <v>46.05</v>
      </c>
    </row>
    <row r="780" spans="1:5">
      <c r="A780" t="s">
        <v>1067</v>
      </c>
      <c r="B780" t="s">
        <v>809</v>
      </c>
      <c r="C780" s="1">
        <v>45707.343007002317</v>
      </c>
      <c r="D780" t="s">
        <v>50</v>
      </c>
      <c r="E780">
        <v>5.21</v>
      </c>
    </row>
    <row r="781" spans="1:5">
      <c r="A781" t="s">
        <v>1068</v>
      </c>
      <c r="B781" t="s">
        <v>64</v>
      </c>
      <c r="C781" s="1">
        <v>45850.343007002317</v>
      </c>
      <c r="D781" t="s">
        <v>50</v>
      </c>
      <c r="E781">
        <v>4.49</v>
      </c>
    </row>
    <row r="782" spans="1:5">
      <c r="A782" t="s">
        <v>1069</v>
      </c>
      <c r="B782" t="s">
        <v>18</v>
      </c>
      <c r="C782" s="1">
        <v>45898.343007002317</v>
      </c>
      <c r="D782" t="s">
        <v>10</v>
      </c>
      <c r="E782">
        <v>14.14</v>
      </c>
    </row>
    <row r="783" spans="1:5">
      <c r="A783" t="s">
        <v>1070</v>
      </c>
      <c r="B783" t="s">
        <v>511</v>
      </c>
      <c r="C783" s="1">
        <v>45802.343007002317</v>
      </c>
      <c r="D783" t="s">
        <v>50</v>
      </c>
      <c r="E783">
        <v>4.17</v>
      </c>
    </row>
    <row r="784" spans="1:5">
      <c r="A784" t="s">
        <v>1071</v>
      </c>
      <c r="B784" t="s">
        <v>221</v>
      </c>
      <c r="C784" s="1">
        <v>45824.343007002317</v>
      </c>
      <c r="D784" t="s">
        <v>16</v>
      </c>
      <c r="E784">
        <v>9.33</v>
      </c>
    </row>
    <row r="785" spans="1:5">
      <c r="A785" t="s">
        <v>1072</v>
      </c>
      <c r="B785" t="s">
        <v>15</v>
      </c>
      <c r="C785" s="1">
        <v>45936.343007002317</v>
      </c>
      <c r="D785" t="s">
        <v>16</v>
      </c>
      <c r="E785">
        <v>10.71</v>
      </c>
    </row>
    <row r="786" spans="1:5">
      <c r="A786" t="s">
        <v>1073</v>
      </c>
      <c r="B786" t="s">
        <v>407</v>
      </c>
      <c r="C786" s="1">
        <v>45661.343007002317</v>
      </c>
      <c r="D786" t="s">
        <v>10</v>
      </c>
      <c r="E786">
        <v>12.43</v>
      </c>
    </row>
    <row r="787" spans="1:5">
      <c r="A787" t="s">
        <v>1074</v>
      </c>
      <c r="B787" t="s">
        <v>153</v>
      </c>
      <c r="C787" s="1">
        <v>45670.343007002317</v>
      </c>
      <c r="D787" t="s">
        <v>13</v>
      </c>
      <c r="E787">
        <v>10.59</v>
      </c>
    </row>
    <row r="788" spans="1:5">
      <c r="A788" t="s">
        <v>1075</v>
      </c>
      <c r="B788" t="s">
        <v>66</v>
      </c>
      <c r="C788" s="1">
        <v>45698.343007002317</v>
      </c>
      <c r="D788" t="s">
        <v>7</v>
      </c>
      <c r="E788">
        <v>38.1</v>
      </c>
    </row>
    <row r="789" spans="1:5">
      <c r="A789" t="s">
        <v>1076</v>
      </c>
      <c r="B789" t="s">
        <v>571</v>
      </c>
      <c r="C789" s="1">
        <v>45787.343007002317</v>
      </c>
      <c r="D789" t="s">
        <v>7</v>
      </c>
      <c r="E789">
        <v>47.71</v>
      </c>
    </row>
    <row r="790" spans="1:5">
      <c r="A790" t="s">
        <v>1077</v>
      </c>
      <c r="B790" t="s">
        <v>891</v>
      </c>
      <c r="C790" s="1">
        <v>45847.343007002317</v>
      </c>
      <c r="D790" t="s">
        <v>50</v>
      </c>
      <c r="E790">
        <v>5.57</v>
      </c>
    </row>
    <row r="791" spans="1:5">
      <c r="A791" t="s">
        <v>1078</v>
      </c>
      <c r="B791" t="s">
        <v>340</v>
      </c>
      <c r="C791" s="1">
        <v>45821.343007002317</v>
      </c>
      <c r="D791" t="s">
        <v>50</v>
      </c>
      <c r="E791">
        <v>5.47</v>
      </c>
    </row>
    <row r="792" spans="1:5">
      <c r="A792" t="s">
        <v>1079</v>
      </c>
      <c r="B792" t="s">
        <v>233</v>
      </c>
      <c r="C792" s="1">
        <v>45889.343007002317</v>
      </c>
      <c r="D792" t="s">
        <v>13</v>
      </c>
      <c r="E792">
        <v>10.16</v>
      </c>
    </row>
    <row r="793" spans="1:5">
      <c r="A793" t="s">
        <v>1080</v>
      </c>
      <c r="B793" t="s">
        <v>211</v>
      </c>
      <c r="C793" s="1">
        <v>45901.343007002317</v>
      </c>
      <c r="D793" t="s">
        <v>50</v>
      </c>
      <c r="E793">
        <v>5.56</v>
      </c>
    </row>
    <row r="794" spans="1:5">
      <c r="A794" t="s">
        <v>1081</v>
      </c>
      <c r="B794" t="s">
        <v>1082</v>
      </c>
      <c r="C794" s="1">
        <v>45693.343007002317</v>
      </c>
      <c r="D794" t="s">
        <v>7</v>
      </c>
      <c r="E794">
        <v>44.56</v>
      </c>
    </row>
    <row r="795" spans="1:5">
      <c r="A795" t="s">
        <v>1083</v>
      </c>
      <c r="B795" t="s">
        <v>334</v>
      </c>
      <c r="C795" s="1">
        <v>45933.343007002317</v>
      </c>
      <c r="D795" t="s">
        <v>29</v>
      </c>
      <c r="E795">
        <v>26.01</v>
      </c>
    </row>
    <row r="796" spans="1:5">
      <c r="A796" t="s">
        <v>1084</v>
      </c>
      <c r="B796" t="s">
        <v>209</v>
      </c>
      <c r="C796" s="1">
        <v>45881.343007002317</v>
      </c>
      <c r="D796" t="s">
        <v>16</v>
      </c>
      <c r="E796">
        <v>11.96</v>
      </c>
    </row>
    <row r="797" spans="1:5">
      <c r="A797" t="s">
        <v>1085</v>
      </c>
      <c r="B797" t="s">
        <v>56</v>
      </c>
      <c r="C797" s="1">
        <v>45930.343007002317</v>
      </c>
      <c r="D797" t="s">
        <v>29</v>
      </c>
      <c r="E797">
        <v>23.25</v>
      </c>
    </row>
    <row r="798" spans="1:5">
      <c r="A798" t="s">
        <v>1086</v>
      </c>
      <c r="B798" t="s">
        <v>497</v>
      </c>
      <c r="C798" s="1">
        <v>45942.343007002317</v>
      </c>
      <c r="D798" t="s">
        <v>29</v>
      </c>
      <c r="E798">
        <v>29.41</v>
      </c>
    </row>
    <row r="799" spans="1:5">
      <c r="A799" t="s">
        <v>1087</v>
      </c>
      <c r="B799" t="s">
        <v>745</v>
      </c>
      <c r="C799" s="1">
        <v>45903.343007002317</v>
      </c>
      <c r="D799" t="s">
        <v>7</v>
      </c>
      <c r="E799">
        <v>46.64</v>
      </c>
    </row>
    <row r="800" spans="1:5">
      <c r="A800" t="s">
        <v>1088</v>
      </c>
      <c r="B800" t="s">
        <v>1089</v>
      </c>
      <c r="C800" s="1">
        <v>45844.343007002317</v>
      </c>
      <c r="D800" t="s">
        <v>29</v>
      </c>
      <c r="E800">
        <v>20.11</v>
      </c>
    </row>
    <row r="801" spans="1:5">
      <c r="A801" t="s">
        <v>1090</v>
      </c>
      <c r="B801" t="s">
        <v>687</v>
      </c>
      <c r="C801" s="1">
        <v>45761.343007002317</v>
      </c>
      <c r="D801" t="s">
        <v>13</v>
      </c>
      <c r="E801">
        <v>11.76</v>
      </c>
    </row>
    <row r="802" spans="1:5">
      <c r="A802" t="s">
        <v>1091</v>
      </c>
      <c r="B802" t="s">
        <v>321</v>
      </c>
      <c r="C802" s="1">
        <v>45930.343007002317</v>
      </c>
      <c r="D802" t="s">
        <v>10</v>
      </c>
      <c r="E802">
        <v>17.86</v>
      </c>
    </row>
    <row r="803" spans="1:5">
      <c r="A803" t="s">
        <v>1092</v>
      </c>
      <c r="B803" t="s">
        <v>836</v>
      </c>
      <c r="C803" s="1">
        <v>45625.343007002317</v>
      </c>
      <c r="D803" t="s">
        <v>50</v>
      </c>
      <c r="E803">
        <v>4.21</v>
      </c>
    </row>
    <row r="804" spans="1:5">
      <c r="A804" t="s">
        <v>1093</v>
      </c>
      <c r="B804" t="s">
        <v>74</v>
      </c>
      <c r="C804" s="1">
        <v>45842.343007002317</v>
      </c>
      <c r="D804" t="s">
        <v>10</v>
      </c>
      <c r="E804">
        <v>15.29</v>
      </c>
    </row>
    <row r="805" spans="1:5">
      <c r="A805" t="s">
        <v>1094</v>
      </c>
      <c r="B805" t="s">
        <v>374</v>
      </c>
      <c r="C805" s="1">
        <v>45701.343007002317</v>
      </c>
      <c r="D805" t="s">
        <v>16</v>
      </c>
      <c r="E805">
        <v>11.92</v>
      </c>
    </row>
    <row r="806" spans="1:5">
      <c r="A806" t="s">
        <v>1095</v>
      </c>
      <c r="B806" t="s">
        <v>565</v>
      </c>
      <c r="C806" s="1">
        <v>45646.343007002317</v>
      </c>
      <c r="D806" t="s">
        <v>50</v>
      </c>
      <c r="E806">
        <v>5.1100000000000003</v>
      </c>
    </row>
    <row r="807" spans="1:5">
      <c r="A807" t="s">
        <v>1096</v>
      </c>
      <c r="B807" t="s">
        <v>287</v>
      </c>
      <c r="C807" s="1">
        <v>45676.343007002317</v>
      </c>
      <c r="D807" t="s">
        <v>29</v>
      </c>
      <c r="E807">
        <v>21.9</v>
      </c>
    </row>
    <row r="808" spans="1:5">
      <c r="A808" t="s">
        <v>1097</v>
      </c>
      <c r="B808" t="s">
        <v>1012</v>
      </c>
      <c r="C808" s="1">
        <v>45728.343007002317</v>
      </c>
      <c r="D808" t="s">
        <v>16</v>
      </c>
      <c r="E808">
        <v>10.33</v>
      </c>
    </row>
    <row r="809" spans="1:5">
      <c r="A809" t="s">
        <v>1098</v>
      </c>
      <c r="B809" t="s">
        <v>555</v>
      </c>
      <c r="C809" s="1">
        <v>45880.343007002317</v>
      </c>
      <c r="D809" t="s">
        <v>50</v>
      </c>
      <c r="E809">
        <v>4.41</v>
      </c>
    </row>
    <row r="810" spans="1:5">
      <c r="A810" t="s">
        <v>1099</v>
      </c>
      <c r="B810" t="s">
        <v>268</v>
      </c>
      <c r="C810" s="1">
        <v>45733.343007002317</v>
      </c>
      <c r="D810" t="s">
        <v>13</v>
      </c>
      <c r="E810">
        <v>12.09</v>
      </c>
    </row>
    <row r="811" spans="1:5">
      <c r="A811" t="s">
        <v>1100</v>
      </c>
      <c r="B811" t="s">
        <v>28</v>
      </c>
      <c r="C811" s="1">
        <v>45779.343007002317</v>
      </c>
      <c r="D811" t="s">
        <v>13</v>
      </c>
      <c r="E811">
        <v>9.9600000000000009</v>
      </c>
    </row>
    <row r="812" spans="1:5">
      <c r="A812" t="s">
        <v>1101</v>
      </c>
      <c r="B812" t="s">
        <v>213</v>
      </c>
      <c r="C812" s="1">
        <v>45925.343007002317</v>
      </c>
      <c r="D812" t="s">
        <v>13</v>
      </c>
      <c r="E812">
        <v>12.51</v>
      </c>
    </row>
    <row r="813" spans="1:5">
      <c r="A813" t="s">
        <v>1102</v>
      </c>
      <c r="B813" t="s">
        <v>411</v>
      </c>
      <c r="C813" s="1">
        <v>45868.343007002317</v>
      </c>
      <c r="D813" t="s">
        <v>13</v>
      </c>
      <c r="E813">
        <v>12.08</v>
      </c>
    </row>
    <row r="814" spans="1:5">
      <c r="A814" t="s">
        <v>1103</v>
      </c>
      <c r="B814" t="s">
        <v>183</v>
      </c>
      <c r="C814" s="1">
        <v>45935.343007002317</v>
      </c>
      <c r="D814" t="s">
        <v>29</v>
      </c>
      <c r="E814">
        <v>27.4</v>
      </c>
    </row>
    <row r="815" spans="1:5">
      <c r="A815" t="s">
        <v>1104</v>
      </c>
      <c r="B815" t="s">
        <v>281</v>
      </c>
      <c r="C815" s="1">
        <v>45664.343007002317</v>
      </c>
      <c r="D815" t="s">
        <v>10</v>
      </c>
      <c r="E815">
        <v>15.78</v>
      </c>
    </row>
    <row r="816" spans="1:5">
      <c r="A816" t="s">
        <v>1105</v>
      </c>
      <c r="B816" t="s">
        <v>56</v>
      </c>
      <c r="C816" s="1">
        <v>45629.343007002317</v>
      </c>
      <c r="D816" t="s">
        <v>50</v>
      </c>
      <c r="E816">
        <v>5.0999999999999996</v>
      </c>
    </row>
    <row r="817" spans="1:5">
      <c r="A817" t="s">
        <v>1106</v>
      </c>
      <c r="B817" t="s">
        <v>409</v>
      </c>
      <c r="C817" s="1">
        <v>45857.343007002317</v>
      </c>
      <c r="D817" t="s">
        <v>29</v>
      </c>
      <c r="E817">
        <v>26.9</v>
      </c>
    </row>
    <row r="818" spans="1:5">
      <c r="A818" t="s">
        <v>1107</v>
      </c>
      <c r="B818" t="s">
        <v>54</v>
      </c>
      <c r="C818" s="1">
        <v>45648.343007002317</v>
      </c>
      <c r="D818" t="s">
        <v>13</v>
      </c>
      <c r="E818">
        <v>10.29</v>
      </c>
    </row>
    <row r="819" spans="1:5">
      <c r="A819" t="s">
        <v>1108</v>
      </c>
      <c r="B819" t="s">
        <v>120</v>
      </c>
      <c r="C819" s="1">
        <v>45800.343007002317</v>
      </c>
      <c r="D819" t="s">
        <v>10</v>
      </c>
      <c r="E819">
        <v>15.57</v>
      </c>
    </row>
    <row r="820" spans="1:5">
      <c r="A820" t="s">
        <v>1109</v>
      </c>
      <c r="B820" t="s">
        <v>642</v>
      </c>
      <c r="C820" s="1">
        <v>45721.343007002317</v>
      </c>
      <c r="D820" t="s">
        <v>16</v>
      </c>
      <c r="E820">
        <v>8.69</v>
      </c>
    </row>
    <row r="821" spans="1:5">
      <c r="A821" t="s">
        <v>1110</v>
      </c>
      <c r="B821" t="s">
        <v>429</v>
      </c>
      <c r="C821" s="1">
        <v>45830.343007002317</v>
      </c>
      <c r="D821" t="s">
        <v>16</v>
      </c>
      <c r="E821">
        <v>11.7</v>
      </c>
    </row>
    <row r="822" spans="1:5">
      <c r="A822" t="s">
        <v>1111</v>
      </c>
      <c r="B822" t="s">
        <v>9</v>
      </c>
      <c r="C822" s="1">
        <v>45638.343007002317</v>
      </c>
      <c r="D822" t="s">
        <v>16</v>
      </c>
      <c r="E822">
        <v>8.27</v>
      </c>
    </row>
    <row r="823" spans="1:5">
      <c r="A823" t="s">
        <v>1112</v>
      </c>
      <c r="B823" t="s">
        <v>100</v>
      </c>
      <c r="C823" s="1">
        <v>45835.343007002317</v>
      </c>
      <c r="D823" t="s">
        <v>13</v>
      </c>
      <c r="E823">
        <v>11.67</v>
      </c>
    </row>
    <row r="824" spans="1:5">
      <c r="A824" t="s">
        <v>1113</v>
      </c>
      <c r="B824" t="s">
        <v>793</v>
      </c>
      <c r="C824" s="1">
        <v>45706.343007002317</v>
      </c>
      <c r="D824" t="s">
        <v>16</v>
      </c>
      <c r="E824">
        <v>10.78</v>
      </c>
    </row>
    <row r="825" spans="1:5">
      <c r="A825" t="s">
        <v>1114</v>
      </c>
      <c r="B825" t="s">
        <v>560</v>
      </c>
      <c r="C825" s="1">
        <v>45844.343007002317</v>
      </c>
      <c r="D825" t="s">
        <v>7</v>
      </c>
      <c r="E825">
        <v>39.33</v>
      </c>
    </row>
    <row r="826" spans="1:5">
      <c r="A826" t="s">
        <v>1115</v>
      </c>
      <c r="B826" t="s">
        <v>1082</v>
      </c>
      <c r="C826" s="1">
        <v>45746.343007002317</v>
      </c>
      <c r="D826" t="s">
        <v>50</v>
      </c>
      <c r="E826">
        <v>4.18</v>
      </c>
    </row>
    <row r="827" spans="1:5">
      <c r="A827" t="s">
        <v>1116</v>
      </c>
      <c r="B827" t="s">
        <v>502</v>
      </c>
      <c r="C827" s="1">
        <v>45778.343007002317</v>
      </c>
      <c r="D827" t="s">
        <v>50</v>
      </c>
      <c r="E827">
        <v>5.1100000000000003</v>
      </c>
    </row>
    <row r="828" spans="1:5">
      <c r="A828" t="s">
        <v>1117</v>
      </c>
      <c r="B828" t="s">
        <v>820</v>
      </c>
      <c r="C828" s="1">
        <v>45931.343007002317</v>
      </c>
      <c r="D828" t="s">
        <v>13</v>
      </c>
      <c r="E828">
        <v>12.68</v>
      </c>
    </row>
    <row r="829" spans="1:5">
      <c r="A829" t="s">
        <v>1118</v>
      </c>
      <c r="B829" t="s">
        <v>161</v>
      </c>
      <c r="C829" s="1">
        <v>45690.343007002317</v>
      </c>
      <c r="D829" t="s">
        <v>7</v>
      </c>
      <c r="E829">
        <v>43.26</v>
      </c>
    </row>
    <row r="830" spans="1:5">
      <c r="A830" t="s">
        <v>1119</v>
      </c>
      <c r="B830" t="s">
        <v>268</v>
      </c>
      <c r="C830" s="1">
        <v>45603.343007002317</v>
      </c>
      <c r="D830" t="s">
        <v>29</v>
      </c>
      <c r="E830">
        <v>23.73</v>
      </c>
    </row>
    <row r="831" spans="1:5">
      <c r="A831" t="s">
        <v>1120</v>
      </c>
      <c r="B831" t="s">
        <v>185</v>
      </c>
      <c r="C831" s="1">
        <v>45955.343007002317</v>
      </c>
      <c r="D831" t="s">
        <v>29</v>
      </c>
      <c r="E831">
        <v>25.64</v>
      </c>
    </row>
    <row r="832" spans="1:5">
      <c r="A832" t="s">
        <v>1121</v>
      </c>
      <c r="B832" t="s">
        <v>1122</v>
      </c>
      <c r="C832" s="1">
        <v>45779.343007002317</v>
      </c>
      <c r="D832" t="s">
        <v>16</v>
      </c>
      <c r="E832">
        <v>9.8000000000000007</v>
      </c>
    </row>
    <row r="833" spans="1:5">
      <c r="A833" t="s">
        <v>1123</v>
      </c>
      <c r="B833" t="s">
        <v>544</v>
      </c>
      <c r="C833" s="1">
        <v>45876.343007002317</v>
      </c>
      <c r="D833" t="s">
        <v>10</v>
      </c>
      <c r="E833">
        <v>16.03</v>
      </c>
    </row>
    <row r="834" spans="1:5">
      <c r="A834" t="s">
        <v>1124</v>
      </c>
      <c r="B834" t="s">
        <v>281</v>
      </c>
      <c r="C834" s="1">
        <v>45790.343007002317</v>
      </c>
      <c r="D834" t="s">
        <v>29</v>
      </c>
      <c r="E834">
        <v>25.84</v>
      </c>
    </row>
    <row r="835" spans="1:5">
      <c r="A835" t="s">
        <v>1125</v>
      </c>
      <c r="B835" t="s">
        <v>645</v>
      </c>
      <c r="C835" s="1">
        <v>45947.343007002317</v>
      </c>
      <c r="D835" t="s">
        <v>10</v>
      </c>
      <c r="E835">
        <v>15.15</v>
      </c>
    </row>
    <row r="836" spans="1:5">
      <c r="A836" t="s">
        <v>1126</v>
      </c>
      <c r="B836" t="s">
        <v>118</v>
      </c>
      <c r="C836" s="1">
        <v>45790.343007002317</v>
      </c>
      <c r="D836" t="s">
        <v>50</v>
      </c>
      <c r="E836">
        <v>4.5</v>
      </c>
    </row>
    <row r="837" spans="1:5">
      <c r="A837" t="s">
        <v>1127</v>
      </c>
      <c r="B837" t="s">
        <v>378</v>
      </c>
      <c r="C837" s="1">
        <v>45750.343007002317</v>
      </c>
      <c r="D837" t="s">
        <v>10</v>
      </c>
      <c r="E837">
        <v>12.01</v>
      </c>
    </row>
    <row r="838" spans="1:5">
      <c r="A838" t="s">
        <v>1128</v>
      </c>
      <c r="B838" t="s">
        <v>163</v>
      </c>
      <c r="C838" s="1">
        <v>45688.343007002317</v>
      </c>
      <c r="D838" t="s">
        <v>50</v>
      </c>
      <c r="E838">
        <v>4.3499999999999996</v>
      </c>
    </row>
    <row r="839" spans="1:5">
      <c r="A839" t="s">
        <v>1129</v>
      </c>
      <c r="B839" t="s">
        <v>12</v>
      </c>
      <c r="C839" s="1">
        <v>45755.343007002317</v>
      </c>
      <c r="D839" t="s">
        <v>7</v>
      </c>
      <c r="E839">
        <v>33.869999999999997</v>
      </c>
    </row>
    <row r="840" spans="1:5">
      <c r="A840" t="s">
        <v>1130</v>
      </c>
      <c r="B840" t="s">
        <v>155</v>
      </c>
      <c r="C840" s="1">
        <v>45656.343007002317</v>
      </c>
      <c r="D840" t="s">
        <v>7</v>
      </c>
      <c r="E840">
        <v>39.19</v>
      </c>
    </row>
    <row r="841" spans="1:5">
      <c r="A841" t="s">
        <v>1131</v>
      </c>
      <c r="B841" t="s">
        <v>385</v>
      </c>
      <c r="C841" s="1">
        <v>45717.343007002317</v>
      </c>
      <c r="D841" t="s">
        <v>13</v>
      </c>
      <c r="E841">
        <v>12.54</v>
      </c>
    </row>
    <row r="842" spans="1:5">
      <c r="A842" t="s">
        <v>1132</v>
      </c>
      <c r="B842" t="s">
        <v>1122</v>
      </c>
      <c r="C842" s="1">
        <v>45646.343007002317</v>
      </c>
      <c r="D842" t="s">
        <v>13</v>
      </c>
      <c r="E842">
        <v>10.62</v>
      </c>
    </row>
    <row r="843" spans="1:5">
      <c r="A843" t="s">
        <v>1133</v>
      </c>
      <c r="B843" t="s">
        <v>405</v>
      </c>
      <c r="C843" s="1">
        <v>45872.343007002317</v>
      </c>
      <c r="D843" t="s">
        <v>16</v>
      </c>
      <c r="E843">
        <v>11.76</v>
      </c>
    </row>
    <row r="844" spans="1:5">
      <c r="A844" t="s">
        <v>1134</v>
      </c>
      <c r="B844" t="s">
        <v>349</v>
      </c>
      <c r="C844" s="1">
        <v>45600.343007002317</v>
      </c>
      <c r="D844" t="s">
        <v>29</v>
      </c>
      <c r="E844">
        <v>20.07</v>
      </c>
    </row>
    <row r="845" spans="1:5">
      <c r="A845" t="s">
        <v>1135</v>
      </c>
      <c r="B845" t="s">
        <v>542</v>
      </c>
      <c r="C845" s="1">
        <v>45687.343007002317</v>
      </c>
      <c r="D845" t="s">
        <v>16</v>
      </c>
      <c r="E845">
        <v>11.09</v>
      </c>
    </row>
    <row r="846" spans="1:5">
      <c r="A846" t="s">
        <v>1136</v>
      </c>
      <c r="B846" t="s">
        <v>334</v>
      </c>
      <c r="C846" s="1">
        <v>45765.343007002317</v>
      </c>
      <c r="D846" t="s">
        <v>50</v>
      </c>
      <c r="E846">
        <v>5.25</v>
      </c>
    </row>
    <row r="847" spans="1:5">
      <c r="A847" t="s">
        <v>1137</v>
      </c>
      <c r="B847" t="s">
        <v>132</v>
      </c>
      <c r="C847" s="1">
        <v>45912.343007002317</v>
      </c>
      <c r="D847" t="s">
        <v>16</v>
      </c>
      <c r="E847">
        <v>9.49</v>
      </c>
    </row>
    <row r="848" spans="1:5">
      <c r="A848" t="s">
        <v>1138</v>
      </c>
      <c r="B848" t="s">
        <v>76</v>
      </c>
      <c r="C848" s="1">
        <v>45617.343007002317</v>
      </c>
      <c r="D848" t="s">
        <v>10</v>
      </c>
      <c r="E848">
        <v>12.3</v>
      </c>
    </row>
    <row r="849" spans="1:5">
      <c r="A849" t="s">
        <v>1139</v>
      </c>
      <c r="B849" t="s">
        <v>147</v>
      </c>
      <c r="C849" s="1">
        <v>45921.343007002317</v>
      </c>
      <c r="D849" t="s">
        <v>50</v>
      </c>
      <c r="E849">
        <v>5.25</v>
      </c>
    </row>
    <row r="850" spans="1:5">
      <c r="A850" t="s">
        <v>1140</v>
      </c>
      <c r="B850" t="s">
        <v>321</v>
      </c>
      <c r="C850" s="1">
        <v>45596.343007002317</v>
      </c>
      <c r="D850" t="s">
        <v>13</v>
      </c>
      <c r="E850">
        <v>11.45</v>
      </c>
    </row>
    <row r="851" spans="1:5">
      <c r="A851" t="s">
        <v>1141</v>
      </c>
      <c r="B851" t="s">
        <v>1142</v>
      </c>
      <c r="C851" s="1">
        <v>45728.343007002317</v>
      </c>
      <c r="D851" t="s">
        <v>7</v>
      </c>
      <c r="E851">
        <v>46.98</v>
      </c>
    </row>
    <row r="852" spans="1:5">
      <c r="A852" t="s">
        <v>1143</v>
      </c>
      <c r="B852" t="s">
        <v>500</v>
      </c>
      <c r="C852" s="1">
        <v>45828.343007002317</v>
      </c>
      <c r="D852" t="s">
        <v>13</v>
      </c>
      <c r="E852">
        <v>12.2</v>
      </c>
    </row>
    <row r="853" spans="1:5">
      <c r="A853" t="s">
        <v>1144</v>
      </c>
      <c r="B853" t="s">
        <v>409</v>
      </c>
      <c r="C853" s="1">
        <v>45607.343007002317</v>
      </c>
      <c r="D853" t="s">
        <v>29</v>
      </c>
      <c r="E853">
        <v>29.4</v>
      </c>
    </row>
    <row r="854" spans="1:5">
      <c r="A854" t="s">
        <v>1145</v>
      </c>
      <c r="B854" t="s">
        <v>200</v>
      </c>
      <c r="C854" s="1">
        <v>45941.343007002317</v>
      </c>
      <c r="D854" t="s">
        <v>50</v>
      </c>
      <c r="E854">
        <v>4.4400000000000004</v>
      </c>
    </row>
    <row r="855" spans="1:5">
      <c r="A855" t="s">
        <v>1146</v>
      </c>
      <c r="B855" t="s">
        <v>327</v>
      </c>
      <c r="C855" s="1">
        <v>45641.343007002317</v>
      </c>
      <c r="D855" t="s">
        <v>50</v>
      </c>
      <c r="E855">
        <v>5.45</v>
      </c>
    </row>
    <row r="856" spans="1:5">
      <c r="A856" t="s">
        <v>1147</v>
      </c>
      <c r="B856" t="s">
        <v>112</v>
      </c>
      <c r="C856" s="1">
        <v>45629.343007002317</v>
      </c>
      <c r="D856" t="s">
        <v>10</v>
      </c>
      <c r="E856">
        <v>15.7</v>
      </c>
    </row>
    <row r="857" spans="1:5">
      <c r="A857" t="s">
        <v>1148</v>
      </c>
      <c r="B857" t="s">
        <v>585</v>
      </c>
      <c r="C857" s="1">
        <v>45673.343007002317</v>
      </c>
      <c r="D857" t="s">
        <v>29</v>
      </c>
      <c r="E857">
        <v>27.39</v>
      </c>
    </row>
    <row r="858" spans="1:5">
      <c r="A858" t="s">
        <v>1149</v>
      </c>
      <c r="B858" t="s">
        <v>167</v>
      </c>
      <c r="C858" s="1">
        <v>45813.343007002317</v>
      </c>
      <c r="D858" t="s">
        <v>7</v>
      </c>
      <c r="E858">
        <v>35.43</v>
      </c>
    </row>
    <row r="859" spans="1:5">
      <c r="A859" t="s">
        <v>1150</v>
      </c>
      <c r="B859" t="s">
        <v>517</v>
      </c>
      <c r="C859" s="1">
        <v>45896.343007002317</v>
      </c>
      <c r="D859" t="s">
        <v>50</v>
      </c>
      <c r="E859">
        <v>5.33</v>
      </c>
    </row>
    <row r="860" spans="1:5">
      <c r="A860" t="s">
        <v>1151</v>
      </c>
      <c r="B860" t="s">
        <v>52</v>
      </c>
      <c r="C860" s="1">
        <v>45668.343007002317</v>
      </c>
      <c r="D860" t="s">
        <v>50</v>
      </c>
      <c r="E860">
        <v>5</v>
      </c>
    </row>
    <row r="861" spans="1:5">
      <c r="A861" t="s">
        <v>1152</v>
      </c>
      <c r="B861" t="s">
        <v>134</v>
      </c>
      <c r="C861" s="1">
        <v>45877.343007002317</v>
      </c>
      <c r="D861" t="s">
        <v>10</v>
      </c>
      <c r="E861">
        <v>16.46</v>
      </c>
    </row>
    <row r="862" spans="1:5">
      <c r="A862" t="s">
        <v>1153</v>
      </c>
      <c r="B862" t="s">
        <v>56</v>
      </c>
      <c r="C862" s="1">
        <v>45844.343007002317</v>
      </c>
      <c r="D862" t="s">
        <v>16</v>
      </c>
      <c r="E862">
        <v>9.31</v>
      </c>
    </row>
    <row r="863" spans="1:5">
      <c r="A863" t="s">
        <v>1154</v>
      </c>
      <c r="B863" t="s">
        <v>389</v>
      </c>
      <c r="C863" s="1">
        <v>45642.343007002317</v>
      </c>
      <c r="D863" t="s">
        <v>7</v>
      </c>
      <c r="E863">
        <v>46.24</v>
      </c>
    </row>
    <row r="864" spans="1:5">
      <c r="A864" t="s">
        <v>1155</v>
      </c>
      <c r="B864" t="s">
        <v>221</v>
      </c>
      <c r="C864" s="1">
        <v>45716.343007002317</v>
      </c>
      <c r="D864" t="s">
        <v>13</v>
      </c>
      <c r="E864">
        <v>10</v>
      </c>
    </row>
    <row r="865" spans="1:5">
      <c r="A865" t="s">
        <v>1156</v>
      </c>
      <c r="B865" t="s">
        <v>657</v>
      </c>
      <c r="C865" s="1">
        <v>45809.343007002317</v>
      </c>
      <c r="D865" t="s">
        <v>29</v>
      </c>
      <c r="E865">
        <v>28.07</v>
      </c>
    </row>
    <row r="866" spans="1:5">
      <c r="A866" t="s">
        <v>1157</v>
      </c>
      <c r="B866" t="s">
        <v>420</v>
      </c>
      <c r="C866" s="1">
        <v>45834.343007002317</v>
      </c>
      <c r="D866" t="s">
        <v>50</v>
      </c>
      <c r="E866">
        <v>5.72</v>
      </c>
    </row>
    <row r="867" spans="1:5">
      <c r="A867" t="s">
        <v>1158</v>
      </c>
      <c r="B867" t="s">
        <v>45</v>
      </c>
      <c r="C867" s="1">
        <v>45651.343007002317</v>
      </c>
      <c r="D867" t="s">
        <v>50</v>
      </c>
      <c r="E867">
        <v>5.63</v>
      </c>
    </row>
    <row r="868" spans="1:5">
      <c r="A868" t="s">
        <v>1159</v>
      </c>
      <c r="B868" t="s">
        <v>258</v>
      </c>
      <c r="C868" s="1">
        <v>45945.343007002317</v>
      </c>
      <c r="D868" t="s">
        <v>13</v>
      </c>
      <c r="E868">
        <v>12.06</v>
      </c>
    </row>
    <row r="869" spans="1:5">
      <c r="A869" t="s">
        <v>1160</v>
      </c>
      <c r="B869" t="s">
        <v>1019</v>
      </c>
      <c r="C869" s="1">
        <v>45702.343007002317</v>
      </c>
      <c r="D869" t="s">
        <v>7</v>
      </c>
      <c r="E869">
        <v>39.01</v>
      </c>
    </row>
    <row r="870" spans="1:5">
      <c r="A870" t="s">
        <v>1161</v>
      </c>
      <c r="B870" t="s">
        <v>823</v>
      </c>
      <c r="C870" s="1">
        <v>45914.343007002317</v>
      </c>
      <c r="D870" t="s">
        <v>16</v>
      </c>
      <c r="E870">
        <v>11.99</v>
      </c>
    </row>
    <row r="871" spans="1:5">
      <c r="A871" t="s">
        <v>1162</v>
      </c>
      <c r="B871" t="s">
        <v>106</v>
      </c>
      <c r="C871" s="1">
        <v>45643.343007002317</v>
      </c>
      <c r="D871" t="s">
        <v>50</v>
      </c>
      <c r="E871">
        <v>4.46</v>
      </c>
    </row>
    <row r="872" spans="1:5">
      <c r="A872" t="s">
        <v>1163</v>
      </c>
      <c r="B872" t="s">
        <v>537</v>
      </c>
      <c r="C872" s="1">
        <v>45656.343007002317</v>
      </c>
      <c r="D872" t="s">
        <v>7</v>
      </c>
      <c r="E872">
        <v>40.75</v>
      </c>
    </row>
    <row r="873" spans="1:5">
      <c r="A873" t="s">
        <v>1164</v>
      </c>
      <c r="B873" t="s">
        <v>9</v>
      </c>
      <c r="C873" s="1">
        <v>45932.343007002317</v>
      </c>
      <c r="D873" t="s">
        <v>13</v>
      </c>
      <c r="E873">
        <v>12.82</v>
      </c>
    </row>
    <row r="874" spans="1:5">
      <c r="A874" t="s">
        <v>1165</v>
      </c>
      <c r="B874" t="s">
        <v>767</v>
      </c>
      <c r="C874" s="1">
        <v>45621.343007002317</v>
      </c>
      <c r="D874" t="s">
        <v>10</v>
      </c>
      <c r="E874">
        <v>16.21</v>
      </c>
    </row>
    <row r="875" spans="1:5">
      <c r="A875" t="s">
        <v>1166</v>
      </c>
      <c r="B875" t="s">
        <v>84</v>
      </c>
      <c r="C875" s="1">
        <v>45887.343007002317</v>
      </c>
      <c r="D875" t="s">
        <v>16</v>
      </c>
      <c r="E875">
        <v>8.82</v>
      </c>
    </row>
    <row r="876" spans="1:5">
      <c r="A876" t="s">
        <v>1167</v>
      </c>
      <c r="B876" t="s">
        <v>601</v>
      </c>
      <c r="C876" s="1">
        <v>45852.343007002317</v>
      </c>
      <c r="D876" t="s">
        <v>29</v>
      </c>
      <c r="E876">
        <v>26.54</v>
      </c>
    </row>
    <row r="877" spans="1:5">
      <c r="A877" t="s">
        <v>1168</v>
      </c>
      <c r="B877" t="s">
        <v>633</v>
      </c>
      <c r="C877" s="1">
        <v>45603.343007002317</v>
      </c>
      <c r="D877" t="s">
        <v>50</v>
      </c>
      <c r="E877">
        <v>5.64</v>
      </c>
    </row>
    <row r="878" spans="1:5">
      <c r="A878" t="s">
        <v>1169</v>
      </c>
      <c r="B878" t="s">
        <v>537</v>
      </c>
      <c r="C878" s="1">
        <v>45708.343007002317</v>
      </c>
      <c r="D878" t="s">
        <v>7</v>
      </c>
      <c r="E878">
        <v>32.799999999999997</v>
      </c>
    </row>
    <row r="879" spans="1:5">
      <c r="A879" t="s">
        <v>1170</v>
      </c>
      <c r="B879" t="s">
        <v>642</v>
      </c>
      <c r="C879" s="1">
        <v>45950.343007002317</v>
      </c>
      <c r="D879" t="s">
        <v>10</v>
      </c>
      <c r="E879">
        <v>17.47</v>
      </c>
    </row>
    <row r="880" spans="1:5">
      <c r="A880" t="s">
        <v>1171</v>
      </c>
      <c r="B880" t="s">
        <v>795</v>
      </c>
      <c r="C880" s="1">
        <v>45848.343007002317</v>
      </c>
      <c r="D880" t="s">
        <v>29</v>
      </c>
      <c r="E880">
        <v>20.3</v>
      </c>
    </row>
    <row r="881" spans="1:5">
      <c r="A881" t="s">
        <v>1172</v>
      </c>
      <c r="B881" t="s">
        <v>157</v>
      </c>
      <c r="C881" s="1">
        <v>45775.343007002317</v>
      </c>
      <c r="D881" t="s">
        <v>7</v>
      </c>
      <c r="E881">
        <v>37.700000000000003</v>
      </c>
    </row>
    <row r="882" spans="1:5">
      <c r="A882" t="s">
        <v>1173</v>
      </c>
      <c r="B882" t="s">
        <v>460</v>
      </c>
      <c r="C882" s="1">
        <v>45802.343007002317</v>
      </c>
      <c r="D882" t="s">
        <v>7</v>
      </c>
      <c r="E882">
        <v>32.25</v>
      </c>
    </row>
    <row r="883" spans="1:5">
      <c r="A883" t="s">
        <v>1174</v>
      </c>
      <c r="B883" t="s">
        <v>558</v>
      </c>
      <c r="C883" s="1">
        <v>45898.343007002317</v>
      </c>
      <c r="D883" t="s">
        <v>29</v>
      </c>
      <c r="E883">
        <v>20.77</v>
      </c>
    </row>
    <row r="884" spans="1:5">
      <c r="A884" t="s">
        <v>1175</v>
      </c>
      <c r="B884" t="s">
        <v>82</v>
      </c>
      <c r="C884" s="1">
        <v>45722.343007002317</v>
      </c>
      <c r="D884" t="s">
        <v>10</v>
      </c>
      <c r="E884">
        <v>17.47</v>
      </c>
    </row>
    <row r="885" spans="1:5">
      <c r="A885" t="s">
        <v>1176</v>
      </c>
      <c r="B885" t="s">
        <v>558</v>
      </c>
      <c r="C885" s="1">
        <v>45651.343007002317</v>
      </c>
      <c r="D885" t="s">
        <v>13</v>
      </c>
      <c r="E885">
        <v>11.3</v>
      </c>
    </row>
    <row r="886" spans="1:5">
      <c r="A886" t="s">
        <v>1177</v>
      </c>
      <c r="B886" t="s">
        <v>315</v>
      </c>
      <c r="C886" s="1">
        <v>45809.343007002317</v>
      </c>
      <c r="D886" t="s">
        <v>10</v>
      </c>
      <c r="E886">
        <v>14.55</v>
      </c>
    </row>
    <row r="887" spans="1:5">
      <c r="A887" t="s">
        <v>1178</v>
      </c>
      <c r="B887" t="s">
        <v>398</v>
      </c>
      <c r="C887" s="1">
        <v>45609.343007002317</v>
      </c>
      <c r="D887" t="s">
        <v>16</v>
      </c>
      <c r="E887">
        <v>8.86</v>
      </c>
    </row>
    <row r="888" spans="1:5">
      <c r="A888" t="s">
        <v>1179</v>
      </c>
      <c r="B888" t="s">
        <v>1180</v>
      </c>
      <c r="C888" s="1">
        <v>45623.343007002317</v>
      </c>
      <c r="D888" t="s">
        <v>50</v>
      </c>
      <c r="E888">
        <v>5.19</v>
      </c>
    </row>
    <row r="889" spans="1:5">
      <c r="A889" t="s">
        <v>1181</v>
      </c>
      <c r="B889" t="s">
        <v>542</v>
      </c>
      <c r="C889" s="1">
        <v>45673.343007002317</v>
      </c>
      <c r="D889" t="s">
        <v>29</v>
      </c>
      <c r="E889">
        <v>25.95</v>
      </c>
    </row>
    <row r="890" spans="1:5">
      <c r="A890" t="s">
        <v>1182</v>
      </c>
      <c r="B890" t="s">
        <v>84</v>
      </c>
      <c r="C890" s="1">
        <v>45811.343007002317</v>
      </c>
      <c r="D890" t="s">
        <v>13</v>
      </c>
      <c r="E890">
        <v>11.39</v>
      </c>
    </row>
    <row r="891" spans="1:5">
      <c r="A891" t="s">
        <v>1183</v>
      </c>
      <c r="B891" t="s">
        <v>72</v>
      </c>
      <c r="C891" s="1">
        <v>45960.343007002317</v>
      </c>
      <c r="D891" t="s">
        <v>29</v>
      </c>
      <c r="E891">
        <v>23.33</v>
      </c>
    </row>
    <row r="892" spans="1:5">
      <c r="A892" t="s">
        <v>1184</v>
      </c>
      <c r="B892" t="s">
        <v>108</v>
      </c>
      <c r="C892" s="1">
        <v>45749.343007002317</v>
      </c>
      <c r="D892" t="s">
        <v>29</v>
      </c>
      <c r="E892">
        <v>28.85</v>
      </c>
    </row>
    <row r="893" spans="1:5">
      <c r="A893" t="s">
        <v>1185</v>
      </c>
      <c r="B893" t="s">
        <v>652</v>
      </c>
      <c r="C893" s="1">
        <v>45609.343007002317</v>
      </c>
      <c r="D893" t="s">
        <v>10</v>
      </c>
      <c r="E893">
        <v>14.3</v>
      </c>
    </row>
    <row r="894" spans="1:5">
      <c r="A894" t="s">
        <v>1186</v>
      </c>
      <c r="B894" t="s">
        <v>52</v>
      </c>
      <c r="C894" s="1">
        <v>45782.343007002317</v>
      </c>
      <c r="D894" t="s">
        <v>50</v>
      </c>
      <c r="E894">
        <v>4.99</v>
      </c>
    </row>
    <row r="895" spans="1:5">
      <c r="A895" t="s">
        <v>1187</v>
      </c>
      <c r="B895" t="s">
        <v>592</v>
      </c>
      <c r="C895" s="1">
        <v>45907.343007002317</v>
      </c>
      <c r="D895" t="s">
        <v>16</v>
      </c>
      <c r="E895">
        <v>9.1300000000000008</v>
      </c>
    </row>
    <row r="896" spans="1:5">
      <c r="A896" t="s">
        <v>1188</v>
      </c>
      <c r="B896" t="s">
        <v>108</v>
      </c>
      <c r="C896" s="1">
        <v>45602.343007002317</v>
      </c>
      <c r="D896" t="s">
        <v>7</v>
      </c>
      <c r="E896">
        <v>44.59</v>
      </c>
    </row>
    <row r="897" spans="1:5">
      <c r="A897" t="s">
        <v>1189</v>
      </c>
      <c r="B897" t="s">
        <v>891</v>
      </c>
      <c r="C897" s="1">
        <v>45598.343007002317</v>
      </c>
      <c r="D897" t="s">
        <v>7</v>
      </c>
      <c r="E897">
        <v>38.36</v>
      </c>
    </row>
    <row r="898" spans="1:5">
      <c r="A898" t="s">
        <v>1190</v>
      </c>
      <c r="B898" t="s">
        <v>300</v>
      </c>
      <c r="C898" s="1">
        <v>45706.343007002317</v>
      </c>
      <c r="D898" t="s">
        <v>29</v>
      </c>
      <c r="E898">
        <v>25.14</v>
      </c>
    </row>
    <row r="899" spans="1:5">
      <c r="A899" t="s">
        <v>1191</v>
      </c>
      <c r="B899" t="s">
        <v>70</v>
      </c>
      <c r="C899" s="1">
        <v>45833.343007002317</v>
      </c>
      <c r="D899" t="s">
        <v>50</v>
      </c>
      <c r="E899">
        <v>4.51</v>
      </c>
    </row>
    <row r="900" spans="1:5">
      <c r="A900" t="s">
        <v>1192</v>
      </c>
      <c r="B900" t="s">
        <v>558</v>
      </c>
      <c r="C900" s="1">
        <v>45958.343007002317</v>
      </c>
      <c r="D900" t="s">
        <v>13</v>
      </c>
      <c r="E900">
        <v>14.34</v>
      </c>
    </row>
    <row r="901" spans="1:5">
      <c r="A901" t="s">
        <v>1193</v>
      </c>
      <c r="B901" t="s">
        <v>62</v>
      </c>
      <c r="C901" s="1">
        <v>45834.343007002317</v>
      </c>
      <c r="D901" t="s">
        <v>10</v>
      </c>
      <c r="E901">
        <v>13.75</v>
      </c>
    </row>
    <row r="902" spans="1:5">
      <c r="A902" t="s">
        <v>1194</v>
      </c>
      <c r="B902" t="s">
        <v>236</v>
      </c>
      <c r="C902" s="1">
        <v>45869.343007002317</v>
      </c>
      <c r="D902" t="s">
        <v>50</v>
      </c>
      <c r="E902">
        <v>5.54</v>
      </c>
    </row>
    <row r="903" spans="1:5">
      <c r="A903" t="s">
        <v>1195</v>
      </c>
      <c r="B903" t="s">
        <v>37</v>
      </c>
      <c r="C903" s="1">
        <v>45889.343007002317</v>
      </c>
      <c r="D903" t="s">
        <v>50</v>
      </c>
      <c r="E903">
        <v>4.8499999999999996</v>
      </c>
    </row>
    <row r="904" spans="1:5">
      <c r="A904" t="s">
        <v>1196</v>
      </c>
      <c r="B904" t="s">
        <v>655</v>
      </c>
      <c r="C904" s="1">
        <v>45822.343007002317</v>
      </c>
      <c r="D904" t="s">
        <v>10</v>
      </c>
      <c r="E904">
        <v>13.24</v>
      </c>
    </row>
    <row r="905" spans="1:5">
      <c r="A905" t="s">
        <v>1197</v>
      </c>
      <c r="B905" t="s">
        <v>387</v>
      </c>
      <c r="C905" s="1">
        <v>45610.343007002317</v>
      </c>
      <c r="D905" t="s">
        <v>29</v>
      </c>
      <c r="E905">
        <v>28</v>
      </c>
    </row>
    <row r="906" spans="1:5">
      <c r="A906" t="s">
        <v>1198</v>
      </c>
      <c r="B906" t="s">
        <v>183</v>
      </c>
      <c r="C906" s="1">
        <v>45787.343007002317</v>
      </c>
      <c r="D906" t="s">
        <v>50</v>
      </c>
      <c r="E906">
        <v>4.67</v>
      </c>
    </row>
    <row r="907" spans="1:5">
      <c r="A907" t="s">
        <v>1199</v>
      </c>
      <c r="B907" t="s">
        <v>248</v>
      </c>
      <c r="C907" s="1">
        <v>45714.343007002317</v>
      </c>
      <c r="D907" t="s">
        <v>7</v>
      </c>
      <c r="E907">
        <v>45.84</v>
      </c>
    </row>
    <row r="908" spans="1:5">
      <c r="A908" t="s">
        <v>1200</v>
      </c>
      <c r="B908" t="s">
        <v>995</v>
      </c>
      <c r="C908" s="1">
        <v>45623.343007002317</v>
      </c>
      <c r="D908" t="s">
        <v>10</v>
      </c>
      <c r="E908">
        <v>17.489999999999998</v>
      </c>
    </row>
    <row r="909" spans="1:5">
      <c r="A909" t="s">
        <v>1201</v>
      </c>
      <c r="B909" t="s">
        <v>250</v>
      </c>
      <c r="C909" s="1">
        <v>45797.343007002317</v>
      </c>
      <c r="D909" t="s">
        <v>13</v>
      </c>
      <c r="E909">
        <v>13.73</v>
      </c>
    </row>
    <row r="910" spans="1:5">
      <c r="A910" t="s">
        <v>1202</v>
      </c>
      <c r="B910" t="s">
        <v>110</v>
      </c>
      <c r="C910" s="1">
        <v>45634.343007002317</v>
      </c>
      <c r="D910" t="s">
        <v>16</v>
      </c>
      <c r="E910">
        <v>8.14</v>
      </c>
    </row>
    <row r="911" spans="1:5">
      <c r="A911" t="s">
        <v>1203</v>
      </c>
      <c r="B911" t="s">
        <v>560</v>
      </c>
      <c r="C911" s="1">
        <v>45868.343007002317</v>
      </c>
      <c r="D911" t="s">
        <v>29</v>
      </c>
      <c r="E911">
        <v>27.87</v>
      </c>
    </row>
    <row r="912" spans="1:5">
      <c r="A912" t="s">
        <v>1204</v>
      </c>
      <c r="B912" t="s">
        <v>211</v>
      </c>
      <c r="C912" s="1">
        <v>45826.343007002317</v>
      </c>
      <c r="D912" t="s">
        <v>10</v>
      </c>
      <c r="E912">
        <v>14.47</v>
      </c>
    </row>
    <row r="913" spans="1:5">
      <c r="A913" t="s">
        <v>1205</v>
      </c>
      <c r="B913" t="s">
        <v>213</v>
      </c>
      <c r="C913" s="1">
        <v>45681.343007002317</v>
      </c>
      <c r="D913" t="s">
        <v>16</v>
      </c>
      <c r="E913">
        <v>11.49</v>
      </c>
    </row>
    <row r="914" spans="1:5">
      <c r="A914" t="s">
        <v>1206</v>
      </c>
      <c r="B914" t="s">
        <v>1000</v>
      </c>
      <c r="C914" s="1">
        <v>45721.343007002317</v>
      </c>
      <c r="D914" t="s">
        <v>16</v>
      </c>
      <c r="E914">
        <v>10.55</v>
      </c>
    </row>
    <row r="915" spans="1:5">
      <c r="A915" t="s">
        <v>1207</v>
      </c>
      <c r="B915" t="s">
        <v>159</v>
      </c>
      <c r="C915" s="1">
        <v>45895.343007002317</v>
      </c>
      <c r="D915" t="s">
        <v>13</v>
      </c>
      <c r="E915">
        <v>13.6</v>
      </c>
    </row>
    <row r="916" spans="1:5">
      <c r="A916" t="s">
        <v>1208</v>
      </c>
      <c r="B916" t="s">
        <v>856</v>
      </c>
      <c r="C916" s="1">
        <v>45620.343007002317</v>
      </c>
      <c r="D916" t="s">
        <v>50</v>
      </c>
      <c r="E916">
        <v>5</v>
      </c>
    </row>
    <row r="917" spans="1:5">
      <c r="A917" t="s">
        <v>1209</v>
      </c>
      <c r="B917" t="s">
        <v>1210</v>
      </c>
      <c r="C917" s="1">
        <v>45740.343007002317</v>
      </c>
      <c r="D917" t="s">
        <v>13</v>
      </c>
      <c r="E917">
        <v>12.17</v>
      </c>
    </row>
    <row r="918" spans="1:5">
      <c r="A918" t="s">
        <v>1211</v>
      </c>
      <c r="B918" t="s">
        <v>870</v>
      </c>
      <c r="C918" s="1">
        <v>45608.343007002317</v>
      </c>
      <c r="D918" t="s">
        <v>50</v>
      </c>
      <c r="E918">
        <v>4.29</v>
      </c>
    </row>
    <row r="919" spans="1:5">
      <c r="A919" t="s">
        <v>1212</v>
      </c>
      <c r="B919" t="s">
        <v>687</v>
      </c>
      <c r="C919" s="1">
        <v>45807.343007002317</v>
      </c>
      <c r="D919" t="s">
        <v>50</v>
      </c>
      <c r="E919">
        <v>5.57</v>
      </c>
    </row>
    <row r="920" spans="1:5">
      <c r="A920" t="s">
        <v>1213</v>
      </c>
      <c r="B920" t="s">
        <v>248</v>
      </c>
      <c r="C920" s="1">
        <v>45620.343007002317</v>
      </c>
      <c r="D920" t="s">
        <v>10</v>
      </c>
      <c r="E920">
        <v>14.52</v>
      </c>
    </row>
    <row r="921" spans="1:5">
      <c r="A921" t="s">
        <v>1214</v>
      </c>
      <c r="B921" t="s">
        <v>736</v>
      </c>
      <c r="C921" s="1">
        <v>45663.343007002317</v>
      </c>
      <c r="D921" t="s">
        <v>10</v>
      </c>
      <c r="E921">
        <v>15</v>
      </c>
    </row>
    <row r="922" spans="1:5">
      <c r="A922" t="s">
        <v>1215</v>
      </c>
      <c r="B922" t="s">
        <v>444</v>
      </c>
      <c r="C922" s="1">
        <v>45662.343007002317</v>
      </c>
      <c r="D922" t="s">
        <v>29</v>
      </c>
      <c r="E922">
        <v>27.85</v>
      </c>
    </row>
    <row r="923" spans="1:5">
      <c r="A923" t="s">
        <v>1216</v>
      </c>
      <c r="B923" t="s">
        <v>181</v>
      </c>
      <c r="C923" s="1">
        <v>45828.343007002317</v>
      </c>
      <c r="D923" t="s">
        <v>50</v>
      </c>
      <c r="E923">
        <v>5.2</v>
      </c>
    </row>
    <row r="924" spans="1:5">
      <c r="A924" t="s">
        <v>1217</v>
      </c>
      <c r="B924" t="s">
        <v>1218</v>
      </c>
      <c r="C924" s="1">
        <v>45704.343007002317</v>
      </c>
      <c r="D924" t="s">
        <v>16</v>
      </c>
      <c r="E924">
        <v>8.8000000000000007</v>
      </c>
    </row>
    <row r="925" spans="1:5">
      <c r="A925" t="s">
        <v>1219</v>
      </c>
      <c r="B925" t="s">
        <v>223</v>
      </c>
      <c r="C925" s="1">
        <v>45741.343007002317</v>
      </c>
      <c r="D925" t="s">
        <v>7</v>
      </c>
      <c r="E925">
        <v>41.44</v>
      </c>
    </row>
    <row r="926" spans="1:5">
      <c r="A926" t="s">
        <v>1220</v>
      </c>
      <c r="B926" t="s">
        <v>856</v>
      </c>
      <c r="C926" s="1">
        <v>45706.343007002317</v>
      </c>
      <c r="D926" t="s">
        <v>29</v>
      </c>
      <c r="E926">
        <v>24.08</v>
      </c>
    </row>
    <row r="927" spans="1:5">
      <c r="A927" t="s">
        <v>1221</v>
      </c>
      <c r="B927" t="s">
        <v>922</v>
      </c>
      <c r="C927" s="1">
        <v>45823.343007002317</v>
      </c>
      <c r="D927" t="s">
        <v>10</v>
      </c>
      <c r="E927">
        <v>14.82</v>
      </c>
    </row>
    <row r="928" spans="1:5">
      <c r="A928" t="s">
        <v>1222</v>
      </c>
      <c r="B928" t="s">
        <v>202</v>
      </c>
      <c r="C928" s="1">
        <v>45706.343007002317</v>
      </c>
      <c r="D928" t="s">
        <v>13</v>
      </c>
      <c r="E928">
        <v>9.74</v>
      </c>
    </row>
    <row r="929" spans="1:5">
      <c r="A929" t="s">
        <v>1223</v>
      </c>
      <c r="B929" t="s">
        <v>562</v>
      </c>
      <c r="C929" s="1">
        <v>45629.343007002317</v>
      </c>
      <c r="D929" t="s">
        <v>29</v>
      </c>
      <c r="E929">
        <v>22.1</v>
      </c>
    </row>
    <row r="930" spans="1:5">
      <c r="A930" t="s">
        <v>1224</v>
      </c>
      <c r="B930" t="s">
        <v>1142</v>
      </c>
      <c r="C930" s="1">
        <v>45706.343007002317</v>
      </c>
      <c r="D930" t="s">
        <v>29</v>
      </c>
      <c r="E930">
        <v>22.81</v>
      </c>
    </row>
    <row r="931" spans="1:5">
      <c r="A931" t="s">
        <v>1225</v>
      </c>
      <c r="B931" t="s">
        <v>677</v>
      </c>
      <c r="C931" s="1">
        <v>45859.343007002317</v>
      </c>
      <c r="D931" t="s">
        <v>29</v>
      </c>
      <c r="E931">
        <v>27.13</v>
      </c>
    </row>
    <row r="932" spans="1:5">
      <c r="A932" t="s">
        <v>1226</v>
      </c>
      <c r="B932" t="s">
        <v>479</v>
      </c>
      <c r="C932" s="1">
        <v>45831.343007002317</v>
      </c>
      <c r="D932" t="s">
        <v>29</v>
      </c>
      <c r="E932">
        <v>20.11</v>
      </c>
    </row>
    <row r="933" spans="1:5">
      <c r="A933" t="s">
        <v>1227</v>
      </c>
      <c r="B933" t="s">
        <v>132</v>
      </c>
      <c r="C933" s="1">
        <v>45678.343007002317</v>
      </c>
      <c r="D933" t="s">
        <v>7</v>
      </c>
      <c r="E933">
        <v>38.54</v>
      </c>
    </row>
    <row r="934" spans="1:5">
      <c r="A934" t="s">
        <v>1228</v>
      </c>
      <c r="B934" t="s">
        <v>359</v>
      </c>
      <c r="C934" s="1">
        <v>45637.343007002317</v>
      </c>
      <c r="D934" t="s">
        <v>13</v>
      </c>
      <c r="E934">
        <v>14.04</v>
      </c>
    </row>
    <row r="935" spans="1:5">
      <c r="A935" t="s">
        <v>1229</v>
      </c>
      <c r="B935" t="s">
        <v>287</v>
      </c>
      <c r="C935" s="1">
        <v>45696.343007002317</v>
      </c>
      <c r="D935" t="s">
        <v>13</v>
      </c>
      <c r="E935">
        <v>10.14</v>
      </c>
    </row>
    <row r="936" spans="1:5">
      <c r="A936" t="s">
        <v>1230</v>
      </c>
      <c r="B936" t="s">
        <v>70</v>
      </c>
      <c r="C936" s="1">
        <v>45601.343007002317</v>
      </c>
      <c r="D936" t="s">
        <v>13</v>
      </c>
      <c r="E936">
        <v>12.08</v>
      </c>
    </row>
    <row r="937" spans="1:5">
      <c r="A937" t="s">
        <v>1231</v>
      </c>
      <c r="B937" t="s">
        <v>167</v>
      </c>
      <c r="C937" s="1">
        <v>45775.343007002317</v>
      </c>
      <c r="D937" t="s">
        <v>50</v>
      </c>
      <c r="E937">
        <v>5.57</v>
      </c>
    </row>
    <row r="938" spans="1:5">
      <c r="A938" t="s">
        <v>1232</v>
      </c>
      <c r="B938" t="s">
        <v>313</v>
      </c>
      <c r="C938" s="1">
        <v>45877.343007002317</v>
      </c>
      <c r="D938" t="s">
        <v>16</v>
      </c>
      <c r="E938">
        <v>11.77</v>
      </c>
    </row>
    <row r="939" spans="1:5">
      <c r="A939" t="s">
        <v>1233</v>
      </c>
      <c r="B939" t="s">
        <v>217</v>
      </c>
      <c r="C939" s="1">
        <v>45915.343007002317</v>
      </c>
      <c r="D939" t="s">
        <v>13</v>
      </c>
      <c r="E939">
        <v>13.18</v>
      </c>
    </row>
    <row r="940" spans="1:5">
      <c r="A940" t="s">
        <v>1234</v>
      </c>
      <c r="B940" t="s">
        <v>309</v>
      </c>
      <c r="C940" s="1">
        <v>45821.343007002317</v>
      </c>
      <c r="D940" t="s">
        <v>29</v>
      </c>
      <c r="E940">
        <v>27.21</v>
      </c>
    </row>
    <row r="941" spans="1:5">
      <c r="A941" t="s">
        <v>1235</v>
      </c>
      <c r="B941" t="s">
        <v>465</v>
      </c>
      <c r="C941" s="1">
        <v>45910.343007002317</v>
      </c>
      <c r="D941" t="s">
        <v>29</v>
      </c>
      <c r="E941">
        <v>28.26</v>
      </c>
    </row>
    <row r="942" spans="1:5">
      <c r="A942" t="s">
        <v>1236</v>
      </c>
      <c r="B942" t="s">
        <v>400</v>
      </c>
      <c r="C942" s="1">
        <v>45960.343007002317</v>
      </c>
      <c r="D942" t="s">
        <v>13</v>
      </c>
      <c r="E942">
        <v>11.74</v>
      </c>
    </row>
    <row r="943" spans="1:5">
      <c r="A943" t="s">
        <v>1237</v>
      </c>
      <c r="B943" t="s">
        <v>795</v>
      </c>
      <c r="C943" s="1">
        <v>45824.343007002317</v>
      </c>
      <c r="D943" t="s">
        <v>13</v>
      </c>
      <c r="E943">
        <v>13.47</v>
      </c>
    </row>
    <row r="944" spans="1:5">
      <c r="A944" t="s">
        <v>1238</v>
      </c>
      <c r="B944" t="s">
        <v>82</v>
      </c>
      <c r="C944" s="1">
        <v>45884.343007002317</v>
      </c>
      <c r="D944" t="s">
        <v>29</v>
      </c>
      <c r="E944">
        <v>20.079999999999998</v>
      </c>
    </row>
    <row r="945" spans="1:5">
      <c r="A945" t="s">
        <v>1239</v>
      </c>
      <c r="B945" t="s">
        <v>258</v>
      </c>
      <c r="C945" s="1">
        <v>45745.343007002317</v>
      </c>
      <c r="D945" t="s">
        <v>50</v>
      </c>
      <c r="E945">
        <v>5.85</v>
      </c>
    </row>
    <row r="946" spans="1:5">
      <c r="A946" t="s">
        <v>1240</v>
      </c>
      <c r="B946" t="s">
        <v>382</v>
      </c>
      <c r="C946" s="1">
        <v>45872.343007002317</v>
      </c>
      <c r="D946" t="s">
        <v>10</v>
      </c>
      <c r="E946">
        <v>14.66</v>
      </c>
    </row>
    <row r="947" spans="1:5">
      <c r="A947" t="s">
        <v>1241</v>
      </c>
      <c r="B947" t="s">
        <v>555</v>
      </c>
      <c r="C947" s="1">
        <v>45793.343007002317</v>
      </c>
      <c r="D947" t="s">
        <v>10</v>
      </c>
      <c r="E947">
        <v>15.32</v>
      </c>
    </row>
    <row r="948" spans="1:5">
      <c r="A948" t="s">
        <v>1242</v>
      </c>
      <c r="B948" t="s">
        <v>811</v>
      </c>
      <c r="C948" s="1">
        <v>45665.343007002317</v>
      </c>
      <c r="D948" t="s">
        <v>13</v>
      </c>
      <c r="E948">
        <v>10.82</v>
      </c>
    </row>
    <row r="949" spans="1:5">
      <c r="A949" t="s">
        <v>1243</v>
      </c>
      <c r="B949" t="s">
        <v>118</v>
      </c>
      <c r="C949" s="1">
        <v>45707.343007002317</v>
      </c>
      <c r="D949" t="s">
        <v>7</v>
      </c>
      <c r="E949">
        <v>43.88</v>
      </c>
    </row>
    <row r="950" spans="1:5">
      <c r="A950" t="s">
        <v>1244</v>
      </c>
      <c r="B950" t="s">
        <v>157</v>
      </c>
      <c r="C950" s="1">
        <v>45599.343007002317</v>
      </c>
      <c r="D950" t="s">
        <v>13</v>
      </c>
      <c r="E950">
        <v>9.9700000000000006</v>
      </c>
    </row>
    <row r="951" spans="1:5">
      <c r="A951" t="s">
        <v>1245</v>
      </c>
      <c r="B951" t="s">
        <v>1246</v>
      </c>
      <c r="C951" s="1">
        <v>45945.343007002317</v>
      </c>
      <c r="D951" t="s">
        <v>13</v>
      </c>
      <c r="E951">
        <v>13.79</v>
      </c>
    </row>
    <row r="952" spans="1:5">
      <c r="A952" t="s">
        <v>1247</v>
      </c>
      <c r="B952" t="s">
        <v>691</v>
      </c>
      <c r="C952" s="1">
        <v>45926.343007002317</v>
      </c>
      <c r="D952" t="s">
        <v>10</v>
      </c>
      <c r="E952">
        <v>16.97</v>
      </c>
    </row>
    <row r="953" spans="1:5">
      <c r="A953" t="s">
        <v>1248</v>
      </c>
      <c r="B953" t="s">
        <v>1052</v>
      </c>
      <c r="C953" s="1">
        <v>45913.343007002317</v>
      </c>
      <c r="D953" t="s">
        <v>29</v>
      </c>
      <c r="E953">
        <v>22.16</v>
      </c>
    </row>
    <row r="954" spans="1:5">
      <c r="A954" t="s">
        <v>1249</v>
      </c>
      <c r="B954" t="s">
        <v>393</v>
      </c>
      <c r="C954" s="1">
        <v>45945.343007002317</v>
      </c>
      <c r="D954" t="s">
        <v>13</v>
      </c>
      <c r="E954">
        <v>13.48</v>
      </c>
    </row>
    <row r="955" spans="1:5">
      <c r="A955" t="s">
        <v>1250</v>
      </c>
      <c r="B955" t="s">
        <v>31</v>
      </c>
      <c r="C955" s="1">
        <v>45690.343007002317</v>
      </c>
      <c r="D955" t="s">
        <v>29</v>
      </c>
      <c r="E955">
        <v>27.86</v>
      </c>
    </row>
    <row r="956" spans="1:5">
      <c r="A956" t="s">
        <v>1251</v>
      </c>
      <c r="B956" t="s">
        <v>382</v>
      </c>
      <c r="C956" s="1">
        <v>45747.343007002317</v>
      </c>
      <c r="D956" t="s">
        <v>29</v>
      </c>
      <c r="E956">
        <v>26.32</v>
      </c>
    </row>
    <row r="957" spans="1:5">
      <c r="A957" t="s">
        <v>1252</v>
      </c>
      <c r="B957" t="s">
        <v>22</v>
      </c>
      <c r="C957" s="1">
        <v>45906.343007002317</v>
      </c>
      <c r="D957" t="s">
        <v>7</v>
      </c>
      <c r="E957">
        <v>37.979999999999997</v>
      </c>
    </row>
    <row r="958" spans="1:5">
      <c r="A958" t="s">
        <v>1253</v>
      </c>
      <c r="B958" t="s">
        <v>173</v>
      </c>
      <c r="C958" s="1">
        <v>45732.343007002317</v>
      </c>
      <c r="D958" t="s">
        <v>29</v>
      </c>
      <c r="E958">
        <v>22.71</v>
      </c>
    </row>
    <row r="959" spans="1:5">
      <c r="A959" t="s">
        <v>1254</v>
      </c>
      <c r="B959" t="s">
        <v>171</v>
      </c>
      <c r="C959" s="1">
        <v>45842.343007002317</v>
      </c>
      <c r="D959" t="s">
        <v>10</v>
      </c>
      <c r="E959">
        <v>13.39</v>
      </c>
    </row>
    <row r="960" spans="1:5">
      <c r="A960" t="s">
        <v>1255</v>
      </c>
      <c r="B960" t="s">
        <v>202</v>
      </c>
      <c r="C960" s="1">
        <v>45838.343007002317</v>
      </c>
      <c r="D960" t="s">
        <v>50</v>
      </c>
      <c r="E960">
        <v>4.6399999999999997</v>
      </c>
    </row>
    <row r="961" spans="1:5">
      <c r="A961" t="s">
        <v>1256</v>
      </c>
      <c r="B961" t="s">
        <v>153</v>
      </c>
      <c r="C961" s="1">
        <v>45626.343007002317</v>
      </c>
      <c r="D961" t="s">
        <v>50</v>
      </c>
      <c r="E961">
        <v>5.81</v>
      </c>
    </row>
    <row r="962" spans="1:5">
      <c r="A962" t="s">
        <v>1257</v>
      </c>
      <c r="B962" t="s">
        <v>922</v>
      </c>
      <c r="C962" s="1">
        <v>45635.343007002317</v>
      </c>
      <c r="D962" t="s">
        <v>16</v>
      </c>
      <c r="E962">
        <v>8.31</v>
      </c>
    </row>
    <row r="963" spans="1:5">
      <c r="A963" t="s">
        <v>1258</v>
      </c>
      <c r="B963" t="s">
        <v>230</v>
      </c>
      <c r="C963" s="1">
        <v>45824.343007002317</v>
      </c>
      <c r="D963" t="s">
        <v>13</v>
      </c>
      <c r="E963">
        <v>13.58</v>
      </c>
    </row>
    <row r="964" spans="1:5">
      <c r="A964" t="s">
        <v>1259</v>
      </c>
      <c r="B964" t="s">
        <v>1019</v>
      </c>
      <c r="C964" s="1">
        <v>45631.343007002317</v>
      </c>
      <c r="D964" t="s">
        <v>10</v>
      </c>
      <c r="E964">
        <v>14.09</v>
      </c>
    </row>
    <row r="965" spans="1:5">
      <c r="A965" t="s">
        <v>1260</v>
      </c>
      <c r="B965" t="s">
        <v>585</v>
      </c>
      <c r="C965" s="1">
        <v>45818.343007002317</v>
      </c>
      <c r="D965" t="s">
        <v>29</v>
      </c>
      <c r="E965">
        <v>25.22</v>
      </c>
    </row>
    <row r="966" spans="1:5">
      <c r="A966" t="s">
        <v>1261</v>
      </c>
      <c r="B966" t="s">
        <v>439</v>
      </c>
      <c r="C966" s="1">
        <v>45601.343007002317</v>
      </c>
      <c r="D966" t="s">
        <v>50</v>
      </c>
      <c r="E966">
        <v>5.59</v>
      </c>
    </row>
    <row r="967" spans="1:5">
      <c r="A967" t="s">
        <v>1262</v>
      </c>
      <c r="B967" t="s">
        <v>856</v>
      </c>
      <c r="C967" s="1">
        <v>45917.343007002317</v>
      </c>
      <c r="D967" t="s">
        <v>10</v>
      </c>
      <c r="E967">
        <v>17.309999999999999</v>
      </c>
    </row>
    <row r="968" spans="1:5">
      <c r="A968" t="s">
        <v>1263</v>
      </c>
      <c r="B968" t="s">
        <v>15</v>
      </c>
      <c r="C968" s="1">
        <v>45815.343007002317</v>
      </c>
      <c r="D968" t="s">
        <v>50</v>
      </c>
      <c r="E968">
        <v>4.6900000000000004</v>
      </c>
    </row>
    <row r="969" spans="1:5">
      <c r="A969" t="s">
        <v>1264</v>
      </c>
      <c r="B969" t="s">
        <v>1089</v>
      </c>
      <c r="C969" s="1">
        <v>45670.343007002317</v>
      </c>
      <c r="D969" t="s">
        <v>29</v>
      </c>
      <c r="E969">
        <v>24.62</v>
      </c>
    </row>
    <row r="970" spans="1:5">
      <c r="A970" t="s">
        <v>1265</v>
      </c>
      <c r="B970" t="s">
        <v>102</v>
      </c>
      <c r="C970" s="1">
        <v>45599.343007002317</v>
      </c>
      <c r="D970" t="s">
        <v>50</v>
      </c>
      <c r="E970">
        <v>4.83</v>
      </c>
    </row>
    <row r="971" spans="1:5">
      <c r="A971" t="s">
        <v>1266</v>
      </c>
      <c r="B971" t="s">
        <v>628</v>
      </c>
      <c r="C971" s="1">
        <v>45930.343007002317</v>
      </c>
      <c r="D971" t="s">
        <v>13</v>
      </c>
      <c r="E971">
        <v>9.66</v>
      </c>
    </row>
    <row r="972" spans="1:5">
      <c r="A972" t="s">
        <v>1267</v>
      </c>
      <c r="B972" t="s">
        <v>682</v>
      </c>
      <c r="C972" s="1">
        <v>45729.343007002317</v>
      </c>
      <c r="D972" t="s">
        <v>13</v>
      </c>
      <c r="E972">
        <v>11.02</v>
      </c>
    </row>
    <row r="973" spans="1:5">
      <c r="A973" t="s">
        <v>1268</v>
      </c>
      <c r="B973" t="s">
        <v>272</v>
      </c>
      <c r="C973" s="1">
        <v>45713.343007002317</v>
      </c>
      <c r="D973" t="s">
        <v>16</v>
      </c>
      <c r="E973">
        <v>9.84</v>
      </c>
    </row>
    <row r="974" spans="1:5">
      <c r="A974" t="s">
        <v>1269</v>
      </c>
      <c r="B974" t="s">
        <v>885</v>
      </c>
      <c r="C974" s="1">
        <v>45689.343007002317</v>
      </c>
      <c r="D974" t="s">
        <v>16</v>
      </c>
      <c r="E974">
        <v>9.64</v>
      </c>
    </row>
    <row r="975" spans="1:5">
      <c r="A975" t="s">
        <v>1270</v>
      </c>
      <c r="B975" t="s">
        <v>289</v>
      </c>
      <c r="C975" s="1">
        <v>45657.343007002317</v>
      </c>
      <c r="D975" t="s">
        <v>50</v>
      </c>
      <c r="E975">
        <v>5.44</v>
      </c>
    </row>
    <row r="976" spans="1:5">
      <c r="A976" t="s">
        <v>1271</v>
      </c>
      <c r="B976" t="s">
        <v>250</v>
      </c>
      <c r="C976" s="1">
        <v>45789.343007002317</v>
      </c>
      <c r="D976" t="s">
        <v>10</v>
      </c>
      <c r="E976">
        <v>14.31</v>
      </c>
    </row>
    <row r="977" spans="1:5">
      <c r="A977" t="s">
        <v>1272</v>
      </c>
      <c r="B977" t="s">
        <v>213</v>
      </c>
      <c r="C977" s="1">
        <v>45930.343007002317</v>
      </c>
      <c r="D977" t="s">
        <v>13</v>
      </c>
      <c r="E977">
        <v>11.95</v>
      </c>
    </row>
    <row r="978" spans="1:5">
      <c r="A978" t="s">
        <v>1273</v>
      </c>
      <c r="B978" t="s">
        <v>719</v>
      </c>
      <c r="C978" s="1">
        <v>45798.343007002317</v>
      </c>
      <c r="D978" t="s">
        <v>10</v>
      </c>
      <c r="E978">
        <v>14.58</v>
      </c>
    </row>
    <row r="979" spans="1:5">
      <c r="A979" t="s">
        <v>1274</v>
      </c>
      <c r="B979" t="s">
        <v>898</v>
      </c>
      <c r="C979" s="1">
        <v>45621.343007002317</v>
      </c>
      <c r="D979" t="s">
        <v>10</v>
      </c>
      <c r="E979">
        <v>16.440000000000001</v>
      </c>
    </row>
    <row r="980" spans="1:5">
      <c r="A980" t="s">
        <v>1275</v>
      </c>
      <c r="B980" t="s">
        <v>272</v>
      </c>
      <c r="C980" s="1">
        <v>45768.343007002317</v>
      </c>
      <c r="D980" t="s">
        <v>50</v>
      </c>
      <c r="E980">
        <v>5.73</v>
      </c>
    </row>
    <row r="981" spans="1:5">
      <c r="A981" t="s">
        <v>1276</v>
      </c>
      <c r="B981" t="s">
        <v>315</v>
      </c>
      <c r="C981" s="1">
        <v>45895.343007002317</v>
      </c>
      <c r="D981" t="s">
        <v>10</v>
      </c>
      <c r="E981">
        <v>15.19</v>
      </c>
    </row>
    <row r="982" spans="1:5">
      <c r="A982" t="s">
        <v>1277</v>
      </c>
      <c r="B982" t="s">
        <v>1047</v>
      </c>
      <c r="C982" s="1">
        <v>45728.343007002317</v>
      </c>
      <c r="D982" t="s">
        <v>13</v>
      </c>
      <c r="E982">
        <v>13.39</v>
      </c>
    </row>
    <row r="983" spans="1:5">
      <c r="A983" t="s">
        <v>1278</v>
      </c>
      <c r="B983" t="s">
        <v>60</v>
      </c>
      <c r="C983" s="1">
        <v>45921.343007002317</v>
      </c>
      <c r="D983" t="s">
        <v>29</v>
      </c>
      <c r="E983">
        <v>22.97</v>
      </c>
    </row>
    <row r="984" spans="1:5">
      <c r="A984" t="s">
        <v>1279</v>
      </c>
      <c r="B984" t="s">
        <v>1280</v>
      </c>
      <c r="C984" s="1">
        <v>45713.343007002317</v>
      </c>
      <c r="D984" t="s">
        <v>16</v>
      </c>
      <c r="E984">
        <v>10.17</v>
      </c>
    </row>
    <row r="985" spans="1:5">
      <c r="A985" t="s">
        <v>1281</v>
      </c>
      <c r="B985" t="s">
        <v>246</v>
      </c>
      <c r="C985" s="1">
        <v>45919.343007002317</v>
      </c>
      <c r="D985" t="s">
        <v>29</v>
      </c>
      <c r="E985">
        <v>23.45</v>
      </c>
    </row>
    <row r="986" spans="1:5">
      <c r="A986" t="s">
        <v>1282</v>
      </c>
      <c r="B986" t="s">
        <v>465</v>
      </c>
      <c r="C986" s="1">
        <v>45870.343007002317</v>
      </c>
      <c r="D986" t="s">
        <v>10</v>
      </c>
      <c r="E986">
        <v>14.49</v>
      </c>
    </row>
    <row r="987" spans="1:5">
      <c r="A987" t="s">
        <v>1283</v>
      </c>
      <c r="B987" t="s">
        <v>511</v>
      </c>
      <c r="C987" s="1">
        <v>45807.343007002317</v>
      </c>
      <c r="D987" t="s">
        <v>29</v>
      </c>
      <c r="E987">
        <v>27.32</v>
      </c>
    </row>
    <row r="988" spans="1:5">
      <c r="A988" t="s">
        <v>1284</v>
      </c>
      <c r="B988" t="s">
        <v>820</v>
      </c>
      <c r="C988" s="1">
        <v>45820.343007002317</v>
      </c>
      <c r="D988" t="s">
        <v>13</v>
      </c>
      <c r="E988">
        <v>13.83</v>
      </c>
    </row>
    <row r="989" spans="1:5">
      <c r="A989" t="s">
        <v>1285</v>
      </c>
      <c r="B989" t="s">
        <v>45</v>
      </c>
      <c r="C989" s="1">
        <v>45615.343007002317</v>
      </c>
      <c r="D989" t="s">
        <v>13</v>
      </c>
      <c r="E989">
        <v>10.18</v>
      </c>
    </row>
    <row r="990" spans="1:5">
      <c r="A990" t="s">
        <v>1286</v>
      </c>
      <c r="B990" t="s">
        <v>321</v>
      </c>
      <c r="C990" s="1">
        <v>45708.343007002317</v>
      </c>
      <c r="D990" t="s">
        <v>10</v>
      </c>
      <c r="E990">
        <v>15.81</v>
      </c>
    </row>
    <row r="991" spans="1:5">
      <c r="A991" t="s">
        <v>1287</v>
      </c>
      <c r="B991" t="s">
        <v>289</v>
      </c>
      <c r="C991" s="1">
        <v>45735.343007002317</v>
      </c>
      <c r="D991" t="s">
        <v>50</v>
      </c>
      <c r="E991">
        <v>5.16</v>
      </c>
    </row>
    <row r="992" spans="1:5">
      <c r="A992" t="s">
        <v>1288</v>
      </c>
      <c r="B992" t="s">
        <v>555</v>
      </c>
      <c r="C992" s="1">
        <v>45642.343007002317</v>
      </c>
      <c r="D992" t="s">
        <v>29</v>
      </c>
      <c r="E992">
        <v>21.18</v>
      </c>
    </row>
    <row r="993" spans="1:5">
      <c r="A993" t="s">
        <v>1289</v>
      </c>
      <c r="B993" t="s">
        <v>418</v>
      </c>
      <c r="C993" s="1">
        <v>45596.343007002317</v>
      </c>
      <c r="D993" t="s">
        <v>50</v>
      </c>
      <c r="E993">
        <v>4.42</v>
      </c>
    </row>
    <row r="994" spans="1:5">
      <c r="A994" t="s">
        <v>1290</v>
      </c>
      <c r="B994" t="s">
        <v>9</v>
      </c>
      <c r="C994" s="1">
        <v>45685.343007002317</v>
      </c>
      <c r="D994" t="s">
        <v>50</v>
      </c>
      <c r="E994">
        <v>4.62</v>
      </c>
    </row>
    <row r="995" spans="1:5">
      <c r="A995" t="s">
        <v>1291</v>
      </c>
      <c r="B995" t="s">
        <v>409</v>
      </c>
      <c r="C995" s="1">
        <v>45737.343007002317</v>
      </c>
      <c r="D995" t="s">
        <v>7</v>
      </c>
      <c r="E995">
        <v>34.67</v>
      </c>
    </row>
    <row r="996" spans="1:5">
      <c r="A996" t="s">
        <v>1292</v>
      </c>
      <c r="B996" t="s">
        <v>243</v>
      </c>
      <c r="C996" s="1">
        <v>45915.343007002317</v>
      </c>
      <c r="D996" t="s">
        <v>10</v>
      </c>
      <c r="E996">
        <v>13.46</v>
      </c>
    </row>
    <row r="997" spans="1:5">
      <c r="A997" t="s">
        <v>1293</v>
      </c>
      <c r="B997" t="s">
        <v>284</v>
      </c>
      <c r="C997" s="1">
        <v>45633.343007002317</v>
      </c>
      <c r="D997" t="s">
        <v>16</v>
      </c>
      <c r="E997">
        <v>9.07</v>
      </c>
    </row>
    <row r="998" spans="1:5">
      <c r="A998" t="s">
        <v>1294</v>
      </c>
      <c r="B998" t="s">
        <v>213</v>
      </c>
      <c r="C998" s="1">
        <v>45888.343007002317</v>
      </c>
      <c r="D998" t="s">
        <v>13</v>
      </c>
      <c r="E998">
        <v>11.21</v>
      </c>
    </row>
    <row r="999" spans="1:5">
      <c r="A999" t="s">
        <v>1295</v>
      </c>
      <c r="B999" t="s">
        <v>108</v>
      </c>
      <c r="C999" s="1">
        <v>45734.343007002317</v>
      </c>
      <c r="D999" t="s">
        <v>13</v>
      </c>
      <c r="E999">
        <v>13.2</v>
      </c>
    </row>
    <row r="1000" spans="1:5">
      <c r="A1000" t="s">
        <v>1296</v>
      </c>
      <c r="B1000" t="s">
        <v>713</v>
      </c>
      <c r="C1000" s="1">
        <v>45951.343007002317</v>
      </c>
      <c r="D1000" t="s">
        <v>10</v>
      </c>
      <c r="E1000">
        <v>15.43</v>
      </c>
    </row>
    <row r="1001" spans="1:5">
      <c r="A1001" t="s">
        <v>1297</v>
      </c>
      <c r="B1001" t="s">
        <v>192</v>
      </c>
      <c r="C1001" s="1">
        <v>45928.343007002317</v>
      </c>
      <c r="D1001" t="s">
        <v>16</v>
      </c>
      <c r="E1001">
        <v>11.94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96A0-04FD-48CD-8E1B-8082D8EE862C}">
  <dimension ref="A2:H291"/>
  <sheetViews>
    <sheetView tabSelected="1" workbookViewId="0">
      <selection activeCell="H286" sqref="H286"/>
    </sheetView>
  </sheetViews>
  <sheetFormatPr defaultRowHeight="15"/>
  <cols>
    <col min="1" max="1" width="14.5703125" bestFit="1" customWidth="1"/>
    <col min="2" max="2" width="20.7109375" bestFit="1" customWidth="1"/>
    <col min="3" max="3" width="19.85546875" bestFit="1" customWidth="1"/>
    <col min="4" max="4" width="16.7109375" bestFit="1" customWidth="1"/>
    <col min="5" max="5" width="12.28515625" bestFit="1" customWidth="1"/>
    <col min="6" max="6" width="10.140625" bestFit="1" customWidth="1"/>
    <col min="7" max="7" width="10" bestFit="1" customWidth="1"/>
    <col min="8" max="8" width="9.42578125" bestFit="1" customWidth="1"/>
  </cols>
  <sheetData>
    <row r="2" spans="1:8">
      <c r="B2" t="s">
        <v>1298</v>
      </c>
      <c r="C2" t="s">
        <v>1299</v>
      </c>
      <c r="D2" t="s">
        <v>1300</v>
      </c>
    </row>
    <row r="3" spans="1:8">
      <c r="A3" s="2" t="s">
        <v>1</v>
      </c>
      <c r="B3" t="s">
        <v>1301</v>
      </c>
      <c r="C3" t="s">
        <v>1302</v>
      </c>
      <c r="D3" t="s">
        <v>1303</v>
      </c>
      <c r="E3" t="s">
        <v>1304</v>
      </c>
      <c r="F3" t="s">
        <v>1298</v>
      </c>
      <c r="G3" t="s">
        <v>1299</v>
      </c>
      <c r="H3" t="s">
        <v>1300</v>
      </c>
    </row>
    <row r="4" spans="1:8">
      <c r="A4" t="s">
        <v>56</v>
      </c>
      <c r="B4" s="1">
        <v>45930.343009259261</v>
      </c>
      <c r="C4" s="3">
        <v>5</v>
      </c>
      <c r="D4" s="3">
        <v>64.5</v>
      </c>
      <c r="E4" t="str">
        <f>A4</f>
        <v>CUST0001</v>
      </c>
      <c r="F4" s="4">
        <f ca="1">TODAY()-B4</f>
        <v>47.656990740739275</v>
      </c>
      <c r="G4">
        <f>C4</f>
        <v>5</v>
      </c>
      <c r="H4">
        <f>D4</f>
        <v>64.5</v>
      </c>
    </row>
    <row r="5" spans="1:8">
      <c r="A5" t="s">
        <v>400</v>
      </c>
      <c r="B5" s="1">
        <v>45960.343009259261</v>
      </c>
      <c r="C5" s="3">
        <v>4</v>
      </c>
      <c r="D5" s="3">
        <v>53.9</v>
      </c>
      <c r="E5" t="str">
        <f t="shared" ref="E5:E68" si="0">A5</f>
        <v>CUST0002</v>
      </c>
      <c r="F5" s="4">
        <f t="shared" ref="F5:F68" ca="1" si="1">TODAY()-B5</f>
        <v>17.656990740739275</v>
      </c>
      <c r="G5">
        <f t="shared" ref="G5:G68" si="2">C5</f>
        <v>4</v>
      </c>
      <c r="H5">
        <f t="shared" ref="H5:H68" si="3">D5</f>
        <v>53.9</v>
      </c>
    </row>
    <row r="6" spans="1:8">
      <c r="A6" t="s">
        <v>655</v>
      </c>
      <c r="B6" s="1">
        <v>45822.343009259261</v>
      </c>
      <c r="C6" s="3">
        <v>4</v>
      </c>
      <c r="D6" s="3">
        <v>75.75</v>
      </c>
      <c r="E6" t="str">
        <f t="shared" si="0"/>
        <v>CUST0003</v>
      </c>
      <c r="F6" s="4">
        <f t="shared" ca="1" si="1"/>
        <v>155.65699074073927</v>
      </c>
      <c r="G6">
        <f t="shared" si="2"/>
        <v>4</v>
      </c>
      <c r="H6">
        <f t="shared" si="3"/>
        <v>75.75</v>
      </c>
    </row>
    <row r="7" spans="1:8">
      <c r="A7" t="s">
        <v>454</v>
      </c>
      <c r="B7" s="1">
        <v>45910.343009259261</v>
      </c>
      <c r="C7" s="3">
        <v>4</v>
      </c>
      <c r="D7" s="3">
        <v>123.07</v>
      </c>
      <c r="E7" t="str">
        <f t="shared" si="0"/>
        <v>CUST0004</v>
      </c>
      <c r="F7" s="4">
        <f t="shared" ca="1" si="1"/>
        <v>67.656990740739275</v>
      </c>
      <c r="G7">
        <f t="shared" si="2"/>
        <v>4</v>
      </c>
      <c r="H7">
        <f t="shared" si="3"/>
        <v>123.07</v>
      </c>
    </row>
    <row r="8" spans="1:8">
      <c r="A8" t="s">
        <v>76</v>
      </c>
      <c r="B8" s="1">
        <v>45946.343009259261</v>
      </c>
      <c r="C8" s="3">
        <v>4</v>
      </c>
      <c r="D8" s="3">
        <v>63.34</v>
      </c>
      <c r="E8" t="str">
        <f t="shared" si="0"/>
        <v>CUST0005</v>
      </c>
      <c r="F8" s="4">
        <f t="shared" ca="1" si="1"/>
        <v>31.656990740739275</v>
      </c>
      <c r="G8">
        <f t="shared" si="2"/>
        <v>4</v>
      </c>
      <c r="H8">
        <f t="shared" si="3"/>
        <v>63.34</v>
      </c>
    </row>
    <row r="9" spans="1:8">
      <c r="A9" t="s">
        <v>380</v>
      </c>
      <c r="B9" s="1">
        <v>45818.343009259261</v>
      </c>
      <c r="C9" s="3">
        <v>5</v>
      </c>
      <c r="D9" s="3">
        <v>104.63000000000001</v>
      </c>
      <c r="E9" t="str">
        <f t="shared" si="0"/>
        <v>CUST0007</v>
      </c>
      <c r="F9" s="4">
        <f t="shared" ca="1" si="1"/>
        <v>159.65699074073927</v>
      </c>
      <c r="G9">
        <f t="shared" si="2"/>
        <v>5</v>
      </c>
      <c r="H9">
        <f t="shared" si="3"/>
        <v>104.63000000000001</v>
      </c>
    </row>
    <row r="10" spans="1:8">
      <c r="A10" t="s">
        <v>349</v>
      </c>
      <c r="B10" s="1">
        <v>45916.343009259261</v>
      </c>
      <c r="C10" s="3">
        <v>4</v>
      </c>
      <c r="D10" s="3">
        <v>106.62</v>
      </c>
      <c r="E10" t="str">
        <f t="shared" si="0"/>
        <v>CUST0008</v>
      </c>
      <c r="F10" s="4">
        <f t="shared" ca="1" si="1"/>
        <v>61.656990740739275</v>
      </c>
      <c r="G10">
        <f t="shared" si="2"/>
        <v>4</v>
      </c>
      <c r="H10">
        <f t="shared" si="3"/>
        <v>106.62</v>
      </c>
    </row>
    <row r="11" spans="1:8">
      <c r="A11" t="s">
        <v>439</v>
      </c>
      <c r="B11" s="1">
        <v>45941.343009259261</v>
      </c>
      <c r="C11" s="3">
        <v>6</v>
      </c>
      <c r="D11" s="3">
        <v>139.02000000000001</v>
      </c>
      <c r="E11" t="str">
        <f t="shared" si="0"/>
        <v>CUST0009</v>
      </c>
      <c r="F11" s="4">
        <f t="shared" ca="1" si="1"/>
        <v>36.656990740739275</v>
      </c>
      <c r="G11">
        <f t="shared" si="2"/>
        <v>6</v>
      </c>
      <c r="H11">
        <f t="shared" si="3"/>
        <v>139.02000000000001</v>
      </c>
    </row>
    <row r="12" spans="1:8">
      <c r="A12" t="s">
        <v>15</v>
      </c>
      <c r="B12" s="1">
        <v>45936.343009259261</v>
      </c>
      <c r="C12" s="3">
        <v>4</v>
      </c>
      <c r="D12" s="3">
        <v>35.17</v>
      </c>
      <c r="E12" t="str">
        <f t="shared" si="0"/>
        <v>CUST0010</v>
      </c>
      <c r="F12" s="4">
        <f t="shared" ca="1" si="1"/>
        <v>41.656990740739275</v>
      </c>
      <c r="G12">
        <f t="shared" si="2"/>
        <v>4</v>
      </c>
      <c r="H12">
        <f t="shared" si="3"/>
        <v>35.17</v>
      </c>
    </row>
    <row r="13" spans="1:8">
      <c r="A13" t="s">
        <v>192</v>
      </c>
      <c r="B13" s="1">
        <v>45943.343009259261</v>
      </c>
      <c r="C13" s="3">
        <v>6</v>
      </c>
      <c r="D13" s="3">
        <v>128.11000000000001</v>
      </c>
      <c r="E13" t="str">
        <f t="shared" si="0"/>
        <v>CUST0011</v>
      </c>
      <c r="F13" s="4">
        <f t="shared" ca="1" si="1"/>
        <v>34.656990740739275</v>
      </c>
      <c r="G13">
        <f t="shared" si="2"/>
        <v>6</v>
      </c>
      <c r="H13">
        <f t="shared" si="3"/>
        <v>128.11000000000001</v>
      </c>
    </row>
    <row r="14" spans="1:8">
      <c r="A14" t="s">
        <v>560</v>
      </c>
      <c r="B14" s="1">
        <v>45918.343009259261</v>
      </c>
      <c r="C14" s="3">
        <v>9</v>
      </c>
      <c r="D14" s="3">
        <v>187.09000000000003</v>
      </c>
      <c r="E14" t="str">
        <f t="shared" si="0"/>
        <v>CUST0012</v>
      </c>
      <c r="F14" s="4">
        <f t="shared" ca="1" si="1"/>
        <v>59.656990740739275</v>
      </c>
      <c r="G14">
        <f t="shared" si="2"/>
        <v>9</v>
      </c>
      <c r="H14">
        <f t="shared" si="3"/>
        <v>187.09000000000003</v>
      </c>
    </row>
    <row r="15" spans="1:8">
      <c r="A15" t="s">
        <v>24</v>
      </c>
      <c r="B15" s="1">
        <v>45952.343009259261</v>
      </c>
      <c r="C15" s="3">
        <v>2</v>
      </c>
      <c r="D15" s="3">
        <v>30.9</v>
      </c>
      <c r="E15" t="str">
        <f t="shared" si="0"/>
        <v>CUST0013</v>
      </c>
      <c r="F15" s="4">
        <f t="shared" ca="1" si="1"/>
        <v>25.656990740739275</v>
      </c>
      <c r="G15">
        <f t="shared" si="2"/>
        <v>2</v>
      </c>
      <c r="H15">
        <f t="shared" si="3"/>
        <v>30.9</v>
      </c>
    </row>
    <row r="16" spans="1:8">
      <c r="A16" t="s">
        <v>96</v>
      </c>
      <c r="B16" s="1">
        <v>45893.343009259261</v>
      </c>
      <c r="C16" s="3">
        <v>6</v>
      </c>
      <c r="D16" s="3">
        <v>132.01</v>
      </c>
      <c r="E16" t="str">
        <f t="shared" si="0"/>
        <v>CUST0014</v>
      </c>
      <c r="F16" s="4">
        <f t="shared" ca="1" si="1"/>
        <v>84.656990740739275</v>
      </c>
      <c r="G16">
        <f t="shared" si="2"/>
        <v>6</v>
      </c>
      <c r="H16">
        <f t="shared" si="3"/>
        <v>132.01</v>
      </c>
    </row>
    <row r="17" spans="1:8">
      <c r="A17" t="s">
        <v>128</v>
      </c>
      <c r="B17" s="1">
        <v>45847.343009259261</v>
      </c>
      <c r="C17" s="3">
        <v>5</v>
      </c>
      <c r="D17" s="3">
        <v>58.190000000000005</v>
      </c>
      <c r="E17" t="str">
        <f t="shared" si="0"/>
        <v>CUST0015</v>
      </c>
      <c r="F17" s="4">
        <f t="shared" ca="1" si="1"/>
        <v>130.65699074073927</v>
      </c>
      <c r="G17">
        <f t="shared" si="2"/>
        <v>5</v>
      </c>
      <c r="H17">
        <f t="shared" si="3"/>
        <v>58.190000000000005</v>
      </c>
    </row>
    <row r="18" spans="1:8">
      <c r="A18" t="s">
        <v>590</v>
      </c>
      <c r="B18" s="1">
        <v>45785.343009259261</v>
      </c>
      <c r="C18" s="3">
        <v>2</v>
      </c>
      <c r="D18" s="3">
        <v>39.26</v>
      </c>
      <c r="E18" t="str">
        <f t="shared" si="0"/>
        <v>CUST0016</v>
      </c>
      <c r="F18" s="4">
        <f t="shared" ca="1" si="1"/>
        <v>192.65699074073927</v>
      </c>
      <c r="G18">
        <f t="shared" si="2"/>
        <v>2</v>
      </c>
      <c r="H18">
        <f t="shared" si="3"/>
        <v>39.26</v>
      </c>
    </row>
    <row r="19" spans="1:8">
      <c r="A19" t="s">
        <v>264</v>
      </c>
      <c r="B19" s="1">
        <v>45868.343009259261</v>
      </c>
      <c r="C19" s="3">
        <v>6</v>
      </c>
      <c r="D19" s="3">
        <v>90.009999999999991</v>
      </c>
      <c r="E19" t="str">
        <f t="shared" si="0"/>
        <v>CUST0017</v>
      </c>
      <c r="F19" s="4">
        <f t="shared" ca="1" si="1"/>
        <v>109.65699074073927</v>
      </c>
      <c r="G19">
        <f t="shared" si="2"/>
        <v>6</v>
      </c>
      <c r="H19">
        <f t="shared" si="3"/>
        <v>90.009999999999991</v>
      </c>
    </row>
    <row r="20" spans="1:8">
      <c r="A20" t="s">
        <v>317</v>
      </c>
      <c r="B20" s="1">
        <v>45828.343009259261</v>
      </c>
      <c r="C20" s="3">
        <v>2</v>
      </c>
      <c r="D20" s="3">
        <v>68.16</v>
      </c>
      <c r="E20" t="str">
        <f t="shared" si="0"/>
        <v>CUST0018</v>
      </c>
      <c r="F20" s="4">
        <f t="shared" ca="1" si="1"/>
        <v>149.65699074073927</v>
      </c>
      <c r="G20">
        <f t="shared" si="2"/>
        <v>2</v>
      </c>
      <c r="H20">
        <f t="shared" si="3"/>
        <v>68.16</v>
      </c>
    </row>
    <row r="21" spans="1:8">
      <c r="A21" t="s">
        <v>315</v>
      </c>
      <c r="B21" s="1">
        <v>45895.343009259261</v>
      </c>
      <c r="C21" s="3">
        <v>3</v>
      </c>
      <c r="D21" s="3">
        <v>50.73</v>
      </c>
      <c r="E21" t="str">
        <f t="shared" si="0"/>
        <v>CUST0019</v>
      </c>
      <c r="F21" s="4">
        <f t="shared" ca="1" si="1"/>
        <v>82.656990740739275</v>
      </c>
      <c r="G21">
        <f t="shared" si="2"/>
        <v>3</v>
      </c>
      <c r="H21">
        <f t="shared" si="3"/>
        <v>50.73</v>
      </c>
    </row>
    <row r="22" spans="1:8">
      <c r="A22" t="s">
        <v>411</v>
      </c>
      <c r="B22" s="1">
        <v>45868.343009259261</v>
      </c>
      <c r="C22" s="3">
        <v>4</v>
      </c>
      <c r="D22" s="3">
        <v>52.31</v>
      </c>
      <c r="E22" t="str">
        <f t="shared" si="0"/>
        <v>CUST0020</v>
      </c>
      <c r="F22" s="4">
        <f t="shared" ca="1" si="1"/>
        <v>109.65699074073927</v>
      </c>
      <c r="G22">
        <f t="shared" si="2"/>
        <v>4</v>
      </c>
      <c r="H22">
        <f t="shared" si="3"/>
        <v>52.31</v>
      </c>
    </row>
    <row r="23" spans="1:8">
      <c r="A23" t="s">
        <v>870</v>
      </c>
      <c r="B23" s="1">
        <v>45834.343009259261</v>
      </c>
      <c r="C23" s="3">
        <v>3</v>
      </c>
      <c r="D23" s="3">
        <v>57.05</v>
      </c>
      <c r="E23" t="str">
        <f t="shared" si="0"/>
        <v>CUST0021</v>
      </c>
      <c r="F23" s="4">
        <f t="shared" ca="1" si="1"/>
        <v>143.65699074073927</v>
      </c>
      <c r="G23">
        <f t="shared" si="2"/>
        <v>3</v>
      </c>
      <c r="H23">
        <f t="shared" si="3"/>
        <v>57.05</v>
      </c>
    </row>
    <row r="24" spans="1:8">
      <c r="A24" t="s">
        <v>828</v>
      </c>
      <c r="B24" s="1">
        <v>45952.343009259261</v>
      </c>
      <c r="C24" s="3">
        <v>3</v>
      </c>
      <c r="D24" s="3">
        <v>50.93</v>
      </c>
      <c r="E24" t="str">
        <f t="shared" si="0"/>
        <v>CUST0022</v>
      </c>
      <c r="F24" s="4">
        <f t="shared" ca="1" si="1"/>
        <v>25.656990740739275</v>
      </c>
      <c r="G24">
        <f t="shared" si="2"/>
        <v>3</v>
      </c>
      <c r="H24">
        <f t="shared" si="3"/>
        <v>50.93</v>
      </c>
    </row>
    <row r="25" spans="1:8">
      <c r="A25" t="s">
        <v>104</v>
      </c>
      <c r="B25" s="1">
        <v>45869.343009259261</v>
      </c>
      <c r="C25" s="3">
        <v>3</v>
      </c>
      <c r="D25" s="3">
        <v>62.489999999999995</v>
      </c>
      <c r="E25" t="str">
        <f t="shared" si="0"/>
        <v>CUST0023</v>
      </c>
      <c r="F25" s="4">
        <f t="shared" ca="1" si="1"/>
        <v>108.65699074073927</v>
      </c>
      <c r="G25">
        <f t="shared" si="2"/>
        <v>3</v>
      </c>
      <c r="H25">
        <f t="shared" si="3"/>
        <v>62.489999999999995</v>
      </c>
    </row>
    <row r="26" spans="1:8">
      <c r="A26" t="s">
        <v>902</v>
      </c>
      <c r="B26" s="1">
        <v>45887.343009259261</v>
      </c>
      <c r="C26" s="3">
        <v>2</v>
      </c>
      <c r="D26" s="3">
        <v>16.66</v>
      </c>
      <c r="E26" t="str">
        <f t="shared" si="0"/>
        <v>CUST0024</v>
      </c>
      <c r="F26" s="4">
        <f t="shared" ca="1" si="1"/>
        <v>90.656990740739275</v>
      </c>
      <c r="G26">
        <f t="shared" si="2"/>
        <v>2</v>
      </c>
      <c r="H26">
        <f t="shared" si="3"/>
        <v>16.66</v>
      </c>
    </row>
    <row r="27" spans="1:8">
      <c r="A27" t="s">
        <v>256</v>
      </c>
      <c r="B27" s="1">
        <v>45920.343009259261</v>
      </c>
      <c r="C27" s="3">
        <v>6</v>
      </c>
      <c r="D27" s="3">
        <v>109.94</v>
      </c>
      <c r="E27" t="str">
        <f t="shared" si="0"/>
        <v>CUST0025</v>
      </c>
      <c r="F27" s="4">
        <f t="shared" ca="1" si="1"/>
        <v>57.656990740739275</v>
      </c>
      <c r="G27">
        <f t="shared" si="2"/>
        <v>6</v>
      </c>
      <c r="H27">
        <f t="shared" si="3"/>
        <v>109.94</v>
      </c>
    </row>
    <row r="28" spans="1:8">
      <c r="A28" t="s">
        <v>585</v>
      </c>
      <c r="B28" s="1">
        <v>45818.343009259261</v>
      </c>
      <c r="C28" s="3">
        <v>4</v>
      </c>
      <c r="D28" s="3">
        <v>95.759999999999991</v>
      </c>
      <c r="E28" t="str">
        <f t="shared" si="0"/>
        <v>CUST0026</v>
      </c>
      <c r="F28" s="4">
        <f t="shared" ca="1" si="1"/>
        <v>159.65699074073927</v>
      </c>
      <c r="G28">
        <f t="shared" si="2"/>
        <v>4</v>
      </c>
      <c r="H28">
        <f t="shared" si="3"/>
        <v>95.759999999999991</v>
      </c>
    </row>
    <row r="29" spans="1:8">
      <c r="A29" t="s">
        <v>479</v>
      </c>
      <c r="B29" s="1">
        <v>45831.343009259261</v>
      </c>
      <c r="C29" s="3">
        <v>5</v>
      </c>
      <c r="D29" s="3">
        <v>70.66</v>
      </c>
      <c r="E29" t="str">
        <f t="shared" si="0"/>
        <v>CUST0027</v>
      </c>
      <c r="F29" s="4">
        <f t="shared" ca="1" si="1"/>
        <v>146.65699074073927</v>
      </c>
      <c r="G29">
        <f t="shared" si="2"/>
        <v>5</v>
      </c>
      <c r="H29">
        <f t="shared" si="3"/>
        <v>70.66</v>
      </c>
    </row>
    <row r="30" spans="1:8">
      <c r="A30" t="s">
        <v>1065</v>
      </c>
      <c r="B30" s="1">
        <v>45846.343009259261</v>
      </c>
      <c r="C30" s="3">
        <v>1</v>
      </c>
      <c r="D30" s="3">
        <v>4.8600000000000003</v>
      </c>
      <c r="E30" t="str">
        <f t="shared" si="0"/>
        <v>CUST0028</v>
      </c>
      <c r="F30" s="4">
        <f t="shared" ca="1" si="1"/>
        <v>131.65699074073927</v>
      </c>
      <c r="G30">
        <f t="shared" si="2"/>
        <v>1</v>
      </c>
      <c r="H30">
        <f t="shared" si="3"/>
        <v>4.8600000000000003</v>
      </c>
    </row>
    <row r="31" spans="1:8">
      <c r="A31" t="s">
        <v>225</v>
      </c>
      <c r="B31" s="1">
        <v>45899.343009259261</v>
      </c>
      <c r="C31" s="3">
        <v>6</v>
      </c>
      <c r="D31" s="3">
        <v>130.92000000000002</v>
      </c>
      <c r="E31" t="str">
        <f t="shared" si="0"/>
        <v>CUST0029</v>
      </c>
      <c r="F31" s="4">
        <f t="shared" ca="1" si="1"/>
        <v>78.656990740739275</v>
      </c>
      <c r="G31">
        <f t="shared" si="2"/>
        <v>6</v>
      </c>
      <c r="H31">
        <f t="shared" si="3"/>
        <v>130.92000000000002</v>
      </c>
    </row>
    <row r="32" spans="1:8">
      <c r="A32" t="s">
        <v>784</v>
      </c>
      <c r="B32" s="1">
        <v>45688.343009259261</v>
      </c>
      <c r="C32" s="3">
        <v>1</v>
      </c>
      <c r="D32" s="3">
        <v>9.42</v>
      </c>
      <c r="E32" t="str">
        <f t="shared" si="0"/>
        <v>CUST0031</v>
      </c>
      <c r="F32" s="4">
        <f t="shared" ca="1" si="1"/>
        <v>289.65699074073927</v>
      </c>
      <c r="G32">
        <f t="shared" si="2"/>
        <v>1</v>
      </c>
      <c r="H32">
        <f t="shared" si="3"/>
        <v>9.42</v>
      </c>
    </row>
    <row r="33" spans="1:8">
      <c r="A33" t="s">
        <v>307</v>
      </c>
      <c r="B33" s="1">
        <v>45826.343009259261</v>
      </c>
      <c r="C33" s="3">
        <v>2</v>
      </c>
      <c r="D33" s="3">
        <v>26.84</v>
      </c>
      <c r="E33" t="str">
        <f t="shared" si="0"/>
        <v>CUST0032</v>
      </c>
      <c r="F33" s="4">
        <f t="shared" ca="1" si="1"/>
        <v>151.65699074073927</v>
      </c>
      <c r="G33">
        <f t="shared" si="2"/>
        <v>2</v>
      </c>
      <c r="H33">
        <f t="shared" si="3"/>
        <v>26.84</v>
      </c>
    </row>
    <row r="34" spans="1:8">
      <c r="A34" t="s">
        <v>843</v>
      </c>
      <c r="B34" s="1">
        <v>45934.343009259261</v>
      </c>
      <c r="C34" s="3">
        <v>1</v>
      </c>
      <c r="D34" s="3">
        <v>5.71</v>
      </c>
      <c r="E34" t="str">
        <f t="shared" si="0"/>
        <v>CUST0033</v>
      </c>
      <c r="F34" s="4">
        <f t="shared" ca="1" si="1"/>
        <v>43.656990740739275</v>
      </c>
      <c r="G34">
        <f t="shared" si="2"/>
        <v>1</v>
      </c>
      <c r="H34">
        <f t="shared" si="3"/>
        <v>5.71</v>
      </c>
    </row>
    <row r="35" spans="1:8">
      <c r="A35" t="s">
        <v>471</v>
      </c>
      <c r="B35" s="1">
        <v>45747.343009259261</v>
      </c>
      <c r="C35" s="3">
        <v>2</v>
      </c>
      <c r="D35" s="3">
        <v>15.89</v>
      </c>
      <c r="E35" t="str">
        <f t="shared" si="0"/>
        <v>CUST0034</v>
      </c>
      <c r="F35" s="4">
        <f t="shared" ca="1" si="1"/>
        <v>230.65699074073927</v>
      </c>
      <c r="G35">
        <f t="shared" si="2"/>
        <v>2</v>
      </c>
      <c r="H35">
        <f t="shared" si="3"/>
        <v>15.89</v>
      </c>
    </row>
    <row r="36" spans="1:8">
      <c r="A36" t="s">
        <v>54</v>
      </c>
      <c r="B36" s="1">
        <v>45787.343009259261</v>
      </c>
      <c r="C36" s="3">
        <v>3</v>
      </c>
      <c r="D36" s="3">
        <v>58.38</v>
      </c>
      <c r="E36" t="str">
        <f t="shared" si="0"/>
        <v>CUST0035</v>
      </c>
      <c r="F36" s="4">
        <f t="shared" ca="1" si="1"/>
        <v>190.65699074073927</v>
      </c>
      <c r="G36">
        <f t="shared" si="2"/>
        <v>3</v>
      </c>
      <c r="H36">
        <f t="shared" si="3"/>
        <v>58.38</v>
      </c>
    </row>
    <row r="37" spans="1:8">
      <c r="A37" t="s">
        <v>393</v>
      </c>
      <c r="B37" s="1">
        <v>45945.343009259261</v>
      </c>
      <c r="C37" s="3">
        <v>3</v>
      </c>
      <c r="D37" s="3">
        <v>72.06</v>
      </c>
      <c r="E37" t="str">
        <f t="shared" si="0"/>
        <v>CUST0036</v>
      </c>
      <c r="F37" s="4">
        <f t="shared" ca="1" si="1"/>
        <v>32.656990740739275</v>
      </c>
      <c r="G37">
        <f t="shared" si="2"/>
        <v>3</v>
      </c>
      <c r="H37">
        <f t="shared" si="3"/>
        <v>72.06</v>
      </c>
    </row>
    <row r="38" spans="1:8">
      <c r="A38" t="s">
        <v>742</v>
      </c>
      <c r="B38" s="1">
        <v>45884.343009259261</v>
      </c>
      <c r="C38" s="3">
        <v>3</v>
      </c>
      <c r="D38" s="3">
        <v>40.36</v>
      </c>
      <c r="E38" t="str">
        <f t="shared" si="0"/>
        <v>CUST0037</v>
      </c>
      <c r="F38" s="4">
        <f t="shared" ca="1" si="1"/>
        <v>93.656990740739275</v>
      </c>
      <c r="G38">
        <f t="shared" si="2"/>
        <v>3</v>
      </c>
      <c r="H38">
        <f t="shared" si="3"/>
        <v>40.36</v>
      </c>
    </row>
    <row r="39" spans="1:8">
      <c r="A39" t="s">
        <v>39</v>
      </c>
      <c r="B39" s="1">
        <v>45905.343009259261</v>
      </c>
      <c r="C39" s="3">
        <v>4</v>
      </c>
      <c r="D39" s="3">
        <v>44.35</v>
      </c>
      <c r="E39" t="str">
        <f t="shared" si="0"/>
        <v>CUST0038</v>
      </c>
      <c r="F39" s="4">
        <f t="shared" ca="1" si="1"/>
        <v>72.656990740739275</v>
      </c>
      <c r="G39">
        <f t="shared" si="2"/>
        <v>4</v>
      </c>
      <c r="H39">
        <f t="shared" si="3"/>
        <v>44.35</v>
      </c>
    </row>
    <row r="40" spans="1:8">
      <c r="A40" t="s">
        <v>118</v>
      </c>
      <c r="B40" s="1">
        <v>45937.343009259261</v>
      </c>
      <c r="C40" s="3">
        <v>8</v>
      </c>
      <c r="D40" s="3">
        <v>167.44</v>
      </c>
      <c r="E40" t="str">
        <f t="shared" si="0"/>
        <v>CUST0039</v>
      </c>
      <c r="F40" s="4">
        <f t="shared" ca="1" si="1"/>
        <v>40.656990740739275</v>
      </c>
      <c r="G40">
        <f t="shared" si="2"/>
        <v>8</v>
      </c>
      <c r="H40">
        <f t="shared" si="3"/>
        <v>167.44</v>
      </c>
    </row>
    <row r="41" spans="1:8">
      <c r="A41" t="s">
        <v>441</v>
      </c>
      <c r="B41" s="1">
        <v>45931.343009259261</v>
      </c>
      <c r="C41" s="3">
        <v>6</v>
      </c>
      <c r="D41" s="3">
        <v>101.46000000000001</v>
      </c>
      <c r="E41" t="str">
        <f t="shared" si="0"/>
        <v>CUST0040</v>
      </c>
      <c r="F41" s="4">
        <f t="shared" ca="1" si="1"/>
        <v>46.656990740739275</v>
      </c>
      <c r="G41">
        <f t="shared" si="2"/>
        <v>6</v>
      </c>
      <c r="H41">
        <f t="shared" si="3"/>
        <v>101.46000000000001</v>
      </c>
    </row>
    <row r="42" spans="1:8">
      <c r="A42" t="s">
        <v>469</v>
      </c>
      <c r="B42" s="1">
        <v>45768.343009259261</v>
      </c>
      <c r="C42" s="3">
        <v>4</v>
      </c>
      <c r="D42" s="3">
        <v>63.980000000000004</v>
      </c>
      <c r="E42" t="str">
        <f t="shared" si="0"/>
        <v>CUST0041</v>
      </c>
      <c r="F42" s="4">
        <f t="shared" ca="1" si="1"/>
        <v>209.65699074073927</v>
      </c>
      <c r="G42">
        <f t="shared" si="2"/>
        <v>4</v>
      </c>
      <c r="H42">
        <f t="shared" si="3"/>
        <v>63.980000000000004</v>
      </c>
    </row>
    <row r="43" spans="1:8">
      <c r="A43" t="s">
        <v>88</v>
      </c>
      <c r="B43" s="1">
        <v>45803.343009259261</v>
      </c>
      <c r="C43" s="3">
        <v>4</v>
      </c>
      <c r="D43" s="3">
        <v>106.78</v>
      </c>
      <c r="E43" t="str">
        <f t="shared" si="0"/>
        <v>CUST0042</v>
      </c>
      <c r="F43" s="4">
        <f t="shared" ca="1" si="1"/>
        <v>174.65699074073927</v>
      </c>
      <c r="G43">
        <f t="shared" si="2"/>
        <v>4</v>
      </c>
      <c r="H43">
        <f t="shared" si="3"/>
        <v>106.78</v>
      </c>
    </row>
    <row r="44" spans="1:8">
      <c r="A44" t="s">
        <v>1210</v>
      </c>
      <c r="B44" s="1">
        <v>45740.343009259261</v>
      </c>
      <c r="C44" s="3">
        <v>1</v>
      </c>
      <c r="D44" s="3">
        <v>12.17</v>
      </c>
      <c r="E44" t="str">
        <f t="shared" si="0"/>
        <v>CUST0043</v>
      </c>
      <c r="F44" s="4">
        <f t="shared" ca="1" si="1"/>
        <v>237.65699074073927</v>
      </c>
      <c r="G44">
        <f t="shared" si="2"/>
        <v>1</v>
      </c>
      <c r="H44">
        <f t="shared" si="3"/>
        <v>12.17</v>
      </c>
    </row>
    <row r="45" spans="1:8">
      <c r="A45" t="s">
        <v>565</v>
      </c>
      <c r="B45" s="1">
        <v>45848.343009259261</v>
      </c>
      <c r="C45" s="3">
        <v>2</v>
      </c>
      <c r="D45" s="3">
        <v>10.379999999999999</v>
      </c>
      <c r="E45" t="str">
        <f t="shared" si="0"/>
        <v>CUST0044</v>
      </c>
      <c r="F45" s="4">
        <f t="shared" ca="1" si="1"/>
        <v>129.65699074073927</v>
      </c>
      <c r="G45">
        <f t="shared" si="2"/>
        <v>2</v>
      </c>
      <c r="H45">
        <f t="shared" si="3"/>
        <v>10.379999999999999</v>
      </c>
    </row>
    <row r="46" spans="1:8">
      <c r="A46" t="s">
        <v>770</v>
      </c>
      <c r="B46" s="1">
        <v>45880.343009259261</v>
      </c>
      <c r="C46" s="3">
        <v>2</v>
      </c>
      <c r="D46" s="3">
        <v>23.240000000000002</v>
      </c>
      <c r="E46" t="str">
        <f t="shared" si="0"/>
        <v>CUST0045</v>
      </c>
      <c r="F46" s="4">
        <f t="shared" ca="1" si="1"/>
        <v>97.656990740739275</v>
      </c>
      <c r="G46">
        <f t="shared" si="2"/>
        <v>2</v>
      </c>
      <c r="H46">
        <f t="shared" si="3"/>
        <v>23.240000000000002</v>
      </c>
    </row>
    <row r="47" spans="1:8">
      <c r="A47" t="s">
        <v>495</v>
      </c>
      <c r="B47" s="1">
        <v>45787.343009259261</v>
      </c>
      <c r="C47" s="3">
        <v>4</v>
      </c>
      <c r="D47" s="3">
        <v>65.58</v>
      </c>
      <c r="E47" t="str">
        <f t="shared" si="0"/>
        <v>CUST0046</v>
      </c>
      <c r="F47" s="4">
        <f t="shared" ca="1" si="1"/>
        <v>190.65699074073927</v>
      </c>
      <c r="G47">
        <f t="shared" si="2"/>
        <v>4</v>
      </c>
      <c r="H47">
        <f t="shared" si="3"/>
        <v>65.58</v>
      </c>
    </row>
    <row r="48" spans="1:8">
      <c r="A48" t="s">
        <v>171</v>
      </c>
      <c r="B48" s="1">
        <v>45842.343009259261</v>
      </c>
      <c r="C48" s="3">
        <v>4</v>
      </c>
      <c r="D48" s="3">
        <v>90.01</v>
      </c>
      <c r="E48" t="str">
        <f t="shared" si="0"/>
        <v>CUST0047</v>
      </c>
      <c r="F48" s="4">
        <f t="shared" ca="1" si="1"/>
        <v>135.65699074073927</v>
      </c>
      <c r="G48">
        <f t="shared" si="2"/>
        <v>4</v>
      </c>
      <c r="H48">
        <f t="shared" si="3"/>
        <v>90.01</v>
      </c>
    </row>
    <row r="49" spans="1:8">
      <c r="A49" t="s">
        <v>289</v>
      </c>
      <c r="B49" s="1">
        <v>45765.343009259261</v>
      </c>
      <c r="C49" s="3">
        <v>4</v>
      </c>
      <c r="D49" s="3">
        <v>32.14</v>
      </c>
      <c r="E49" t="str">
        <f t="shared" si="0"/>
        <v>CUST0049</v>
      </c>
      <c r="F49" s="4">
        <f t="shared" ca="1" si="1"/>
        <v>212.65699074073927</v>
      </c>
      <c r="G49">
        <f t="shared" si="2"/>
        <v>4</v>
      </c>
      <c r="H49">
        <f t="shared" si="3"/>
        <v>32.14</v>
      </c>
    </row>
    <row r="50" spans="1:8">
      <c r="A50" t="s">
        <v>898</v>
      </c>
      <c r="B50" s="1">
        <v>45812.343009259261</v>
      </c>
      <c r="C50" s="3">
        <v>3</v>
      </c>
      <c r="D50" s="3">
        <v>32.49</v>
      </c>
      <c r="E50" t="str">
        <f t="shared" si="0"/>
        <v>CUST0050</v>
      </c>
      <c r="F50" s="4">
        <f t="shared" ca="1" si="1"/>
        <v>165.65699074073927</v>
      </c>
      <c r="G50">
        <f t="shared" si="2"/>
        <v>3</v>
      </c>
      <c r="H50">
        <f t="shared" si="3"/>
        <v>32.49</v>
      </c>
    </row>
    <row r="51" spans="1:8">
      <c r="A51" t="s">
        <v>223</v>
      </c>
      <c r="B51" s="1">
        <v>45888.343009259261</v>
      </c>
      <c r="C51" s="3">
        <v>3</v>
      </c>
      <c r="D51" s="3">
        <v>86.679999999999993</v>
      </c>
      <c r="E51" t="str">
        <f t="shared" si="0"/>
        <v>CUST0051</v>
      </c>
      <c r="F51" s="4">
        <f t="shared" ca="1" si="1"/>
        <v>89.656990740739275</v>
      </c>
      <c r="G51">
        <f t="shared" si="2"/>
        <v>3</v>
      </c>
      <c r="H51">
        <f t="shared" si="3"/>
        <v>86.679999999999993</v>
      </c>
    </row>
    <row r="52" spans="1:8">
      <c r="A52" t="s">
        <v>677</v>
      </c>
      <c r="B52" s="1">
        <v>45913.343009259261</v>
      </c>
      <c r="C52" s="3">
        <v>2</v>
      </c>
      <c r="D52" s="3">
        <v>52.57</v>
      </c>
      <c r="E52" t="str">
        <f t="shared" si="0"/>
        <v>CUST0052</v>
      </c>
      <c r="F52" s="4">
        <f t="shared" ca="1" si="1"/>
        <v>64.656990740739275</v>
      </c>
      <c r="G52">
        <f t="shared" si="2"/>
        <v>2</v>
      </c>
      <c r="H52">
        <f t="shared" si="3"/>
        <v>52.57</v>
      </c>
    </row>
    <row r="53" spans="1:8">
      <c r="A53" t="s">
        <v>420</v>
      </c>
      <c r="B53" s="1">
        <v>45941.343009259261</v>
      </c>
      <c r="C53" s="3">
        <v>2</v>
      </c>
      <c r="D53" s="3">
        <v>13.86</v>
      </c>
      <c r="E53" t="str">
        <f t="shared" si="0"/>
        <v>CUST0053</v>
      </c>
      <c r="F53" s="4">
        <f t="shared" ca="1" si="1"/>
        <v>36.656990740739275</v>
      </c>
      <c r="G53">
        <f t="shared" si="2"/>
        <v>2</v>
      </c>
      <c r="H53">
        <f t="shared" si="3"/>
        <v>13.86</v>
      </c>
    </row>
    <row r="54" spans="1:8">
      <c r="A54" t="s">
        <v>355</v>
      </c>
      <c r="B54" s="1">
        <v>45867.343009259261</v>
      </c>
      <c r="C54" s="3">
        <v>2</v>
      </c>
      <c r="D54" s="3">
        <v>14.21</v>
      </c>
      <c r="E54" t="str">
        <f t="shared" si="0"/>
        <v>CUST0054</v>
      </c>
      <c r="F54" s="4">
        <f t="shared" ca="1" si="1"/>
        <v>110.65699074073927</v>
      </c>
      <c r="G54">
        <f t="shared" si="2"/>
        <v>2</v>
      </c>
      <c r="H54">
        <f t="shared" si="3"/>
        <v>14.21</v>
      </c>
    </row>
    <row r="55" spans="1:8">
      <c r="A55" t="s">
        <v>241</v>
      </c>
      <c r="B55" s="1">
        <v>45851.343009259261</v>
      </c>
      <c r="C55" s="3">
        <v>5</v>
      </c>
      <c r="D55" s="3">
        <v>81.3</v>
      </c>
      <c r="E55" t="str">
        <f t="shared" si="0"/>
        <v>CUST0055</v>
      </c>
      <c r="F55" s="4">
        <f t="shared" ca="1" si="1"/>
        <v>126.65699074073927</v>
      </c>
      <c r="G55">
        <f t="shared" si="2"/>
        <v>5</v>
      </c>
      <c r="H55">
        <f t="shared" si="3"/>
        <v>81.3</v>
      </c>
    </row>
    <row r="56" spans="1:8">
      <c r="A56" t="s">
        <v>754</v>
      </c>
      <c r="B56" s="1">
        <v>45935.343009259261</v>
      </c>
      <c r="C56" s="3">
        <v>1</v>
      </c>
      <c r="D56" s="3">
        <v>10.48</v>
      </c>
      <c r="E56" t="str">
        <f t="shared" si="0"/>
        <v>CUST0056</v>
      </c>
      <c r="F56" s="4">
        <f t="shared" ca="1" si="1"/>
        <v>42.656990740739275</v>
      </c>
      <c r="G56">
        <f t="shared" si="2"/>
        <v>1</v>
      </c>
      <c r="H56">
        <f t="shared" si="3"/>
        <v>10.48</v>
      </c>
    </row>
    <row r="57" spans="1:8">
      <c r="A57" t="s">
        <v>568</v>
      </c>
      <c r="B57" s="1">
        <v>45851.343009259261</v>
      </c>
      <c r="C57" s="3">
        <v>1</v>
      </c>
      <c r="D57" s="3">
        <v>24.63</v>
      </c>
      <c r="E57" t="str">
        <f t="shared" si="0"/>
        <v>CUST0057</v>
      </c>
      <c r="F57" s="4">
        <f t="shared" ca="1" si="1"/>
        <v>126.65699074073927</v>
      </c>
      <c r="G57">
        <f t="shared" si="2"/>
        <v>1</v>
      </c>
      <c r="H57">
        <f t="shared" si="3"/>
        <v>24.63</v>
      </c>
    </row>
    <row r="58" spans="1:8">
      <c r="A58" t="s">
        <v>848</v>
      </c>
      <c r="B58" s="1">
        <v>45825.343009259261</v>
      </c>
      <c r="C58" s="3">
        <v>2</v>
      </c>
      <c r="D58" s="3">
        <v>83.66</v>
      </c>
      <c r="E58" t="str">
        <f t="shared" si="0"/>
        <v>CUST0058</v>
      </c>
      <c r="F58" s="4">
        <f t="shared" ca="1" si="1"/>
        <v>152.65699074073927</v>
      </c>
      <c r="G58">
        <f t="shared" si="2"/>
        <v>2</v>
      </c>
      <c r="H58">
        <f t="shared" si="3"/>
        <v>83.66</v>
      </c>
    </row>
    <row r="59" spans="1:8">
      <c r="A59" t="s">
        <v>429</v>
      </c>
      <c r="B59" s="1">
        <v>45937.343009259261</v>
      </c>
      <c r="C59" s="3">
        <v>7</v>
      </c>
      <c r="D59" s="3">
        <v>99.24</v>
      </c>
      <c r="E59" t="str">
        <f t="shared" si="0"/>
        <v>CUST0059</v>
      </c>
      <c r="F59" s="4">
        <f t="shared" ca="1" si="1"/>
        <v>40.656990740739275</v>
      </c>
      <c r="G59">
        <f t="shared" si="2"/>
        <v>7</v>
      </c>
      <c r="H59">
        <f t="shared" si="3"/>
        <v>99.24</v>
      </c>
    </row>
    <row r="60" spans="1:8">
      <c r="A60" t="s">
        <v>60</v>
      </c>
      <c r="B60" s="1">
        <v>45934.343009259261</v>
      </c>
      <c r="C60" s="3">
        <v>4</v>
      </c>
      <c r="D60" s="3">
        <v>88.919999999999987</v>
      </c>
      <c r="E60" t="str">
        <f t="shared" si="0"/>
        <v>CUST0060</v>
      </c>
      <c r="F60" s="4">
        <f t="shared" ca="1" si="1"/>
        <v>43.656990740739275</v>
      </c>
      <c r="G60">
        <f t="shared" si="2"/>
        <v>4</v>
      </c>
      <c r="H60">
        <f t="shared" si="3"/>
        <v>88.919999999999987</v>
      </c>
    </row>
    <row r="61" spans="1:8">
      <c r="A61" t="s">
        <v>546</v>
      </c>
      <c r="B61" s="1">
        <v>45749.343009259261</v>
      </c>
      <c r="C61" s="3">
        <v>3</v>
      </c>
      <c r="D61" s="3">
        <v>46.61</v>
      </c>
      <c r="E61" t="str">
        <f t="shared" si="0"/>
        <v>CUST0061</v>
      </c>
      <c r="F61" s="4">
        <f t="shared" ca="1" si="1"/>
        <v>228.65699074073927</v>
      </c>
      <c r="G61">
        <f t="shared" si="2"/>
        <v>3</v>
      </c>
      <c r="H61">
        <f t="shared" si="3"/>
        <v>46.61</v>
      </c>
    </row>
    <row r="62" spans="1:8">
      <c r="A62" t="s">
        <v>80</v>
      </c>
      <c r="B62" s="1">
        <v>45785.343009259261</v>
      </c>
      <c r="C62" s="3">
        <v>3</v>
      </c>
      <c r="D62" s="3">
        <v>51.039999999999992</v>
      </c>
      <c r="E62" t="str">
        <f t="shared" si="0"/>
        <v>CUST0062</v>
      </c>
      <c r="F62" s="4">
        <f t="shared" ca="1" si="1"/>
        <v>192.65699074073927</v>
      </c>
      <c r="G62">
        <f t="shared" si="2"/>
        <v>3</v>
      </c>
      <c r="H62">
        <f t="shared" si="3"/>
        <v>51.039999999999992</v>
      </c>
    </row>
    <row r="63" spans="1:8">
      <c r="A63" t="s">
        <v>106</v>
      </c>
      <c r="B63" s="1">
        <v>45838.343009259261</v>
      </c>
      <c r="C63" s="3">
        <v>6</v>
      </c>
      <c r="D63" s="3">
        <v>96.279999999999987</v>
      </c>
      <c r="E63" t="str">
        <f t="shared" si="0"/>
        <v>CUST0063</v>
      </c>
      <c r="F63" s="4">
        <f t="shared" ca="1" si="1"/>
        <v>139.65699074073927</v>
      </c>
      <c r="G63">
        <f t="shared" si="2"/>
        <v>6</v>
      </c>
      <c r="H63">
        <f t="shared" si="3"/>
        <v>96.279999999999987</v>
      </c>
    </row>
    <row r="64" spans="1:8">
      <c r="A64" t="s">
        <v>497</v>
      </c>
      <c r="B64" s="1">
        <v>45942.343009259261</v>
      </c>
      <c r="C64" s="3">
        <v>3</v>
      </c>
      <c r="D64" s="3">
        <v>49.8</v>
      </c>
      <c r="E64" t="str">
        <f t="shared" si="0"/>
        <v>CUST0064</v>
      </c>
      <c r="F64" s="4">
        <f t="shared" ca="1" si="1"/>
        <v>35.656990740739275</v>
      </c>
      <c r="G64">
        <f t="shared" si="2"/>
        <v>3</v>
      </c>
      <c r="H64">
        <f t="shared" si="3"/>
        <v>49.8</v>
      </c>
    </row>
    <row r="65" spans="1:8">
      <c r="A65" t="s">
        <v>652</v>
      </c>
      <c r="B65" s="1">
        <v>45960.343009259261</v>
      </c>
      <c r="C65" s="3">
        <v>2</v>
      </c>
      <c r="D65" s="3">
        <v>23.78</v>
      </c>
      <c r="E65" t="str">
        <f t="shared" si="0"/>
        <v>CUST0065</v>
      </c>
      <c r="F65" s="4">
        <f t="shared" ca="1" si="1"/>
        <v>17.656990740739275</v>
      </c>
      <c r="G65">
        <f t="shared" si="2"/>
        <v>2</v>
      </c>
      <c r="H65">
        <f t="shared" si="3"/>
        <v>23.78</v>
      </c>
    </row>
    <row r="66" spans="1:8">
      <c r="A66" t="s">
        <v>1030</v>
      </c>
      <c r="B66" s="1">
        <v>45953.343009259261</v>
      </c>
      <c r="C66" s="3">
        <v>2</v>
      </c>
      <c r="D66" s="3">
        <v>56.19</v>
      </c>
      <c r="E66" t="str">
        <f t="shared" si="0"/>
        <v>CUST0066</v>
      </c>
      <c r="F66" s="4">
        <f t="shared" ca="1" si="1"/>
        <v>24.656990740739275</v>
      </c>
      <c r="G66">
        <f t="shared" si="2"/>
        <v>2</v>
      </c>
      <c r="H66">
        <f t="shared" si="3"/>
        <v>56.19</v>
      </c>
    </row>
    <row r="67" spans="1:8">
      <c r="A67" t="s">
        <v>124</v>
      </c>
      <c r="B67" s="1">
        <v>45708.343009259261</v>
      </c>
      <c r="C67" s="3">
        <v>2</v>
      </c>
      <c r="D67" s="3">
        <v>50.21</v>
      </c>
      <c r="E67" t="str">
        <f t="shared" si="0"/>
        <v>CUST0067</v>
      </c>
      <c r="F67" s="4">
        <f t="shared" ca="1" si="1"/>
        <v>269.65699074073927</v>
      </c>
      <c r="G67">
        <f t="shared" si="2"/>
        <v>2</v>
      </c>
      <c r="H67">
        <f t="shared" si="3"/>
        <v>50.21</v>
      </c>
    </row>
    <row r="68" spans="1:8">
      <c r="A68" t="s">
        <v>719</v>
      </c>
      <c r="B68" s="1">
        <v>45813.343009259261</v>
      </c>
      <c r="C68" s="3">
        <v>2</v>
      </c>
      <c r="D68" s="3">
        <v>40.29</v>
      </c>
      <c r="E68" t="str">
        <f t="shared" si="0"/>
        <v>CUST0068</v>
      </c>
      <c r="F68" s="4">
        <f t="shared" ca="1" si="1"/>
        <v>164.65699074073927</v>
      </c>
      <c r="G68">
        <f t="shared" si="2"/>
        <v>2</v>
      </c>
      <c r="H68">
        <f t="shared" si="3"/>
        <v>40.29</v>
      </c>
    </row>
    <row r="69" spans="1:8">
      <c r="A69" t="s">
        <v>45</v>
      </c>
      <c r="B69" s="1">
        <v>45904.343009259261</v>
      </c>
      <c r="C69" s="3">
        <v>5</v>
      </c>
      <c r="D69" s="3">
        <v>56.240000000000009</v>
      </c>
      <c r="E69" t="str">
        <f t="shared" ref="E69:E132" si="4">A69</f>
        <v>CUST0069</v>
      </c>
      <c r="F69" s="4">
        <f t="shared" ref="F69:F132" ca="1" si="5">TODAY()-B69</f>
        <v>73.656990740739275</v>
      </c>
      <c r="G69">
        <f t="shared" ref="G69:G132" si="6">C69</f>
        <v>5</v>
      </c>
      <c r="H69">
        <f t="shared" ref="H69:H132" si="7">D69</f>
        <v>56.240000000000009</v>
      </c>
    </row>
    <row r="70" spans="1:8">
      <c r="A70" t="s">
        <v>1246</v>
      </c>
      <c r="B70" s="1">
        <v>45945.343009259261</v>
      </c>
      <c r="C70" s="3">
        <v>1</v>
      </c>
      <c r="D70" s="3">
        <v>13.79</v>
      </c>
      <c r="E70" t="str">
        <f t="shared" si="4"/>
        <v>CUST0071</v>
      </c>
      <c r="F70" s="4">
        <f t="shared" ca="1" si="5"/>
        <v>32.656990740739275</v>
      </c>
      <c r="G70">
        <f t="shared" si="6"/>
        <v>1</v>
      </c>
      <c r="H70">
        <f t="shared" si="7"/>
        <v>13.79</v>
      </c>
    </row>
    <row r="71" spans="1:8">
      <c r="A71" t="s">
        <v>682</v>
      </c>
      <c r="B71" s="1">
        <v>45768.343009259261</v>
      </c>
      <c r="C71" s="3">
        <v>5</v>
      </c>
      <c r="D71" s="3">
        <v>41.33</v>
      </c>
      <c r="E71" t="str">
        <f t="shared" si="4"/>
        <v>CUST0072</v>
      </c>
      <c r="F71" s="4">
        <f t="shared" ca="1" si="5"/>
        <v>209.65699074073927</v>
      </c>
      <c r="G71">
        <f t="shared" si="6"/>
        <v>5</v>
      </c>
      <c r="H71">
        <f t="shared" si="7"/>
        <v>41.33</v>
      </c>
    </row>
    <row r="72" spans="1:8">
      <c r="A72" t="s">
        <v>537</v>
      </c>
      <c r="B72" s="1">
        <v>45787.343009259261</v>
      </c>
      <c r="C72" s="3">
        <v>5</v>
      </c>
      <c r="D72" s="3">
        <v>142.38</v>
      </c>
      <c r="E72" t="str">
        <f t="shared" si="4"/>
        <v>CUST0073</v>
      </c>
      <c r="F72" s="4">
        <f t="shared" ca="1" si="5"/>
        <v>190.65699074073927</v>
      </c>
      <c r="G72">
        <f t="shared" si="6"/>
        <v>5</v>
      </c>
      <c r="H72">
        <f t="shared" si="7"/>
        <v>142.38</v>
      </c>
    </row>
    <row r="73" spans="1:8">
      <c r="A73" t="s">
        <v>811</v>
      </c>
      <c r="B73" s="1">
        <v>45785.343009259261</v>
      </c>
      <c r="C73" s="3">
        <v>2</v>
      </c>
      <c r="D73" s="3">
        <v>20.810000000000002</v>
      </c>
      <c r="E73" t="str">
        <f t="shared" si="4"/>
        <v>CUST0074</v>
      </c>
      <c r="F73" s="4">
        <f t="shared" ca="1" si="5"/>
        <v>192.65699074073927</v>
      </c>
      <c r="G73">
        <f t="shared" si="6"/>
        <v>2</v>
      </c>
      <c r="H73">
        <f t="shared" si="7"/>
        <v>20.810000000000002</v>
      </c>
    </row>
    <row r="74" spans="1:8">
      <c r="A74" t="s">
        <v>260</v>
      </c>
      <c r="B74" s="1">
        <v>45826.343009259261</v>
      </c>
      <c r="C74" s="3">
        <v>3</v>
      </c>
      <c r="D74" s="3">
        <v>60.87</v>
      </c>
      <c r="E74" t="str">
        <f t="shared" si="4"/>
        <v>CUST0075</v>
      </c>
      <c r="F74" s="4">
        <f t="shared" ca="1" si="5"/>
        <v>151.65699074073927</v>
      </c>
      <c r="G74">
        <f t="shared" si="6"/>
        <v>3</v>
      </c>
      <c r="H74">
        <f t="shared" si="7"/>
        <v>60.87</v>
      </c>
    </row>
    <row r="75" spans="1:8">
      <c r="A75" t="s">
        <v>52</v>
      </c>
      <c r="B75" s="1">
        <v>45889.343009259261</v>
      </c>
      <c r="C75" s="3">
        <v>5</v>
      </c>
      <c r="D75" s="3">
        <v>75.69</v>
      </c>
      <c r="E75" t="str">
        <f t="shared" si="4"/>
        <v>CUST0076</v>
      </c>
      <c r="F75" s="4">
        <f t="shared" ca="1" si="5"/>
        <v>88.656990740739275</v>
      </c>
      <c r="G75">
        <f t="shared" si="6"/>
        <v>5</v>
      </c>
      <c r="H75">
        <f t="shared" si="7"/>
        <v>75.69</v>
      </c>
    </row>
    <row r="76" spans="1:8">
      <c r="A76" t="s">
        <v>795</v>
      </c>
      <c r="B76" s="1">
        <v>45848.343009259261</v>
      </c>
      <c r="C76" s="3">
        <v>4</v>
      </c>
      <c r="D76" s="3">
        <v>91.19</v>
      </c>
      <c r="E76" t="str">
        <f t="shared" si="4"/>
        <v>CUST0077</v>
      </c>
      <c r="F76" s="4">
        <f t="shared" ca="1" si="5"/>
        <v>129.65699074073927</v>
      </c>
      <c r="G76">
        <f t="shared" si="6"/>
        <v>4</v>
      </c>
      <c r="H76">
        <f t="shared" si="7"/>
        <v>91.19</v>
      </c>
    </row>
    <row r="77" spans="1:8">
      <c r="A77" t="s">
        <v>78</v>
      </c>
      <c r="B77" s="1">
        <v>45954.343009259261</v>
      </c>
      <c r="C77" s="3">
        <v>3</v>
      </c>
      <c r="D77" s="3">
        <v>70.13</v>
      </c>
      <c r="E77" t="str">
        <f t="shared" si="4"/>
        <v>CUST0078</v>
      </c>
      <c r="F77" s="4">
        <f t="shared" ca="1" si="5"/>
        <v>23.656990740739275</v>
      </c>
      <c r="G77">
        <f t="shared" si="6"/>
        <v>3</v>
      </c>
      <c r="H77">
        <f t="shared" si="7"/>
        <v>70.13</v>
      </c>
    </row>
    <row r="78" spans="1:8">
      <c r="A78" t="s">
        <v>846</v>
      </c>
      <c r="B78" s="1">
        <v>45937.343009259261</v>
      </c>
      <c r="C78" s="3">
        <v>2</v>
      </c>
      <c r="D78" s="3">
        <v>38.49</v>
      </c>
      <c r="E78" t="str">
        <f t="shared" si="4"/>
        <v>CUST0079</v>
      </c>
      <c r="F78" s="4">
        <f t="shared" ca="1" si="5"/>
        <v>40.656990740739275</v>
      </c>
      <c r="G78">
        <f t="shared" si="6"/>
        <v>2</v>
      </c>
      <c r="H78">
        <f t="shared" si="7"/>
        <v>38.49</v>
      </c>
    </row>
    <row r="79" spans="1:8">
      <c r="A79" t="s">
        <v>571</v>
      </c>
      <c r="B79" s="1">
        <v>45898.343009259261</v>
      </c>
      <c r="C79" s="3">
        <v>3</v>
      </c>
      <c r="D79" s="3">
        <v>80.930000000000007</v>
      </c>
      <c r="E79" t="str">
        <f t="shared" si="4"/>
        <v>CUST0080</v>
      </c>
      <c r="F79" s="4">
        <f t="shared" ca="1" si="5"/>
        <v>79.656990740739275</v>
      </c>
      <c r="G79">
        <f t="shared" si="6"/>
        <v>3</v>
      </c>
      <c r="H79">
        <f t="shared" si="7"/>
        <v>80.930000000000007</v>
      </c>
    </row>
    <row r="80" spans="1:8">
      <c r="A80" t="s">
        <v>424</v>
      </c>
      <c r="B80" s="1">
        <v>45743.343009259261</v>
      </c>
      <c r="C80" s="3">
        <v>3</v>
      </c>
      <c r="D80" s="3">
        <v>52.34</v>
      </c>
      <c r="E80" t="str">
        <f t="shared" si="4"/>
        <v>CUST0081</v>
      </c>
      <c r="F80" s="4">
        <f t="shared" ca="1" si="5"/>
        <v>234.65699074073927</v>
      </c>
      <c r="G80">
        <f t="shared" si="6"/>
        <v>3</v>
      </c>
      <c r="H80">
        <f t="shared" si="7"/>
        <v>52.34</v>
      </c>
    </row>
    <row r="81" spans="1:8">
      <c r="A81" t="s">
        <v>398</v>
      </c>
      <c r="B81" s="1">
        <v>45960.343009259261</v>
      </c>
      <c r="C81" s="3">
        <v>5</v>
      </c>
      <c r="D81" s="3">
        <v>88.89</v>
      </c>
      <c r="E81" t="str">
        <f t="shared" si="4"/>
        <v>CUST0082</v>
      </c>
      <c r="F81" s="4">
        <f t="shared" ca="1" si="5"/>
        <v>17.656990740739275</v>
      </c>
      <c r="G81">
        <f t="shared" si="6"/>
        <v>5</v>
      </c>
      <c r="H81">
        <f t="shared" si="7"/>
        <v>88.89</v>
      </c>
    </row>
    <row r="82" spans="1:8">
      <c r="A82" t="s">
        <v>31</v>
      </c>
      <c r="B82" s="1">
        <v>45926.343009259261</v>
      </c>
      <c r="C82" s="3">
        <v>8</v>
      </c>
      <c r="D82" s="3">
        <v>123.51</v>
      </c>
      <c r="E82" t="str">
        <f t="shared" si="4"/>
        <v>CUST0084</v>
      </c>
      <c r="F82" s="4">
        <f t="shared" ca="1" si="5"/>
        <v>51.656990740739275</v>
      </c>
      <c r="G82">
        <f t="shared" si="6"/>
        <v>8</v>
      </c>
      <c r="H82">
        <f t="shared" si="7"/>
        <v>123.51</v>
      </c>
    </row>
    <row r="83" spans="1:8">
      <c r="A83" t="s">
        <v>387</v>
      </c>
      <c r="B83" s="1">
        <v>45779.343009259261</v>
      </c>
      <c r="C83" s="3">
        <v>2</v>
      </c>
      <c r="D83" s="3">
        <v>41.95</v>
      </c>
      <c r="E83" t="str">
        <f t="shared" si="4"/>
        <v>CUST0085</v>
      </c>
      <c r="F83" s="4">
        <f t="shared" ca="1" si="5"/>
        <v>198.65699074073927</v>
      </c>
      <c r="G83">
        <f t="shared" si="6"/>
        <v>2</v>
      </c>
      <c r="H83">
        <f t="shared" si="7"/>
        <v>41.95</v>
      </c>
    </row>
    <row r="84" spans="1:8">
      <c r="A84" t="s">
        <v>147</v>
      </c>
      <c r="B84" s="1">
        <v>45921.343009259261</v>
      </c>
      <c r="C84" s="3">
        <v>4</v>
      </c>
      <c r="D84" s="3">
        <v>30.27</v>
      </c>
      <c r="E84" t="str">
        <f t="shared" si="4"/>
        <v>CUST0086</v>
      </c>
      <c r="F84" s="4">
        <f t="shared" ca="1" si="5"/>
        <v>56.656990740739275</v>
      </c>
      <c r="G84">
        <f t="shared" si="6"/>
        <v>4</v>
      </c>
      <c r="H84">
        <f t="shared" si="7"/>
        <v>30.27</v>
      </c>
    </row>
    <row r="85" spans="1:8">
      <c r="A85" t="s">
        <v>344</v>
      </c>
      <c r="B85" s="1">
        <v>45815.343009259261</v>
      </c>
      <c r="C85" s="3">
        <v>4</v>
      </c>
      <c r="D85" s="3">
        <v>57.61</v>
      </c>
      <c r="E85" t="str">
        <f t="shared" si="4"/>
        <v>CUST0087</v>
      </c>
      <c r="F85" s="4">
        <f t="shared" ca="1" si="5"/>
        <v>162.65699074073927</v>
      </c>
      <c r="G85">
        <f t="shared" si="6"/>
        <v>4</v>
      </c>
      <c r="H85">
        <f t="shared" si="7"/>
        <v>57.61</v>
      </c>
    </row>
    <row r="86" spans="1:8">
      <c r="A86" t="s">
        <v>370</v>
      </c>
      <c r="B86" s="1">
        <v>45820.343009259261</v>
      </c>
      <c r="C86" s="3">
        <v>2</v>
      </c>
      <c r="D86" s="3">
        <v>21.91</v>
      </c>
      <c r="E86" t="str">
        <f t="shared" si="4"/>
        <v>CUST0088</v>
      </c>
      <c r="F86" s="4">
        <f t="shared" ca="1" si="5"/>
        <v>157.65699074073927</v>
      </c>
      <c r="G86">
        <f t="shared" si="6"/>
        <v>2</v>
      </c>
      <c r="H86">
        <f t="shared" si="7"/>
        <v>21.91</v>
      </c>
    </row>
    <row r="87" spans="1:8">
      <c r="A87" t="s">
        <v>84</v>
      </c>
      <c r="B87" s="1">
        <v>45887.343009259261</v>
      </c>
      <c r="C87" s="3">
        <v>6</v>
      </c>
      <c r="D87" s="3">
        <v>60.04</v>
      </c>
      <c r="E87" t="str">
        <f t="shared" si="4"/>
        <v>CUST0089</v>
      </c>
      <c r="F87" s="4">
        <f t="shared" ca="1" si="5"/>
        <v>90.656990740739275</v>
      </c>
      <c r="G87">
        <f t="shared" si="6"/>
        <v>6</v>
      </c>
      <c r="H87">
        <f t="shared" si="7"/>
        <v>60.04</v>
      </c>
    </row>
    <row r="88" spans="1:8">
      <c r="A88" t="s">
        <v>258</v>
      </c>
      <c r="B88" s="1">
        <v>45947.343009259261</v>
      </c>
      <c r="C88" s="3">
        <v>5</v>
      </c>
      <c r="D88" s="3">
        <v>49.970000000000006</v>
      </c>
      <c r="E88" t="str">
        <f t="shared" si="4"/>
        <v>CUST0090</v>
      </c>
      <c r="F88" s="4">
        <f t="shared" ca="1" si="5"/>
        <v>30.656990740739275</v>
      </c>
      <c r="G88">
        <f t="shared" si="6"/>
        <v>5</v>
      </c>
      <c r="H88">
        <f t="shared" si="7"/>
        <v>49.970000000000006</v>
      </c>
    </row>
    <row r="89" spans="1:8">
      <c r="A89" t="s">
        <v>219</v>
      </c>
      <c r="B89" s="1">
        <v>45815.343009259261</v>
      </c>
      <c r="C89" s="3">
        <v>5</v>
      </c>
      <c r="D89" s="3">
        <v>113.27000000000001</v>
      </c>
      <c r="E89" t="str">
        <f t="shared" si="4"/>
        <v>CUST0092</v>
      </c>
      <c r="F89" s="4">
        <f t="shared" ca="1" si="5"/>
        <v>162.65699074073927</v>
      </c>
      <c r="G89">
        <f t="shared" si="6"/>
        <v>5</v>
      </c>
      <c r="H89">
        <f t="shared" si="7"/>
        <v>113.27000000000001</v>
      </c>
    </row>
    <row r="90" spans="1:8">
      <c r="A90" t="s">
        <v>891</v>
      </c>
      <c r="B90" s="1">
        <v>45960.343009259261</v>
      </c>
      <c r="C90" s="3">
        <v>4</v>
      </c>
      <c r="D90" s="3">
        <v>64.37</v>
      </c>
      <c r="E90" t="str">
        <f t="shared" si="4"/>
        <v>CUST0093</v>
      </c>
      <c r="F90" s="4">
        <f t="shared" ca="1" si="5"/>
        <v>17.656990740739275</v>
      </c>
      <c r="G90">
        <f t="shared" si="6"/>
        <v>4</v>
      </c>
      <c r="H90">
        <f t="shared" si="7"/>
        <v>64.37</v>
      </c>
    </row>
    <row r="91" spans="1:8">
      <c r="A91" t="s">
        <v>41</v>
      </c>
      <c r="B91" s="1">
        <v>45726.343009259261</v>
      </c>
      <c r="C91" s="3">
        <v>1</v>
      </c>
      <c r="D91" s="3">
        <v>11.82</v>
      </c>
      <c r="E91" t="str">
        <f t="shared" si="4"/>
        <v>CUST0094</v>
      </c>
      <c r="F91" s="4">
        <f t="shared" ca="1" si="5"/>
        <v>251.65699074073927</v>
      </c>
      <c r="G91">
        <f t="shared" si="6"/>
        <v>1</v>
      </c>
      <c r="H91">
        <f t="shared" si="7"/>
        <v>11.82</v>
      </c>
    </row>
    <row r="92" spans="1:8">
      <c r="A92" t="s">
        <v>43</v>
      </c>
      <c r="B92" s="1">
        <v>45912.343009259261</v>
      </c>
      <c r="C92" s="3">
        <v>3</v>
      </c>
      <c r="D92" s="3">
        <v>31.41</v>
      </c>
      <c r="E92" t="str">
        <f t="shared" si="4"/>
        <v>CUST0095</v>
      </c>
      <c r="F92" s="4">
        <f t="shared" ca="1" si="5"/>
        <v>65.656990740739275</v>
      </c>
      <c r="G92">
        <f t="shared" si="6"/>
        <v>3</v>
      </c>
      <c r="H92">
        <f t="shared" si="7"/>
        <v>31.41</v>
      </c>
    </row>
    <row r="93" spans="1:8">
      <c r="A93" t="s">
        <v>368</v>
      </c>
      <c r="B93" s="1">
        <v>45906.343009259261</v>
      </c>
      <c r="C93" s="3">
        <v>3</v>
      </c>
      <c r="D93" s="3">
        <v>95.009999999999991</v>
      </c>
      <c r="E93" t="str">
        <f t="shared" si="4"/>
        <v>CUST0096</v>
      </c>
      <c r="F93" s="4">
        <f t="shared" ca="1" si="5"/>
        <v>71.656990740739275</v>
      </c>
      <c r="G93">
        <f t="shared" si="6"/>
        <v>3</v>
      </c>
      <c r="H93">
        <f t="shared" si="7"/>
        <v>95.009999999999991</v>
      </c>
    </row>
    <row r="94" spans="1:8">
      <c r="A94" t="s">
        <v>140</v>
      </c>
      <c r="B94" s="1">
        <v>45786.343009259261</v>
      </c>
      <c r="C94" s="3">
        <v>2</v>
      </c>
      <c r="D94" s="3">
        <v>32.729999999999997</v>
      </c>
      <c r="E94" t="str">
        <f t="shared" si="4"/>
        <v>CUST0097</v>
      </c>
      <c r="F94" s="4">
        <f t="shared" ca="1" si="5"/>
        <v>191.65699074073927</v>
      </c>
      <c r="G94">
        <f t="shared" si="6"/>
        <v>2</v>
      </c>
      <c r="H94">
        <f t="shared" si="7"/>
        <v>32.729999999999997</v>
      </c>
    </row>
    <row r="95" spans="1:8">
      <c r="A95" t="s">
        <v>460</v>
      </c>
      <c r="B95" s="1">
        <v>45960.343009259261</v>
      </c>
      <c r="C95" s="3">
        <v>6</v>
      </c>
      <c r="D95" s="3">
        <v>122.55000000000001</v>
      </c>
      <c r="E95" t="str">
        <f t="shared" si="4"/>
        <v>CUST0098</v>
      </c>
      <c r="F95" s="4">
        <f t="shared" ca="1" si="5"/>
        <v>17.656990740739275</v>
      </c>
      <c r="G95">
        <f t="shared" si="6"/>
        <v>6</v>
      </c>
      <c r="H95">
        <f t="shared" si="7"/>
        <v>122.55000000000001</v>
      </c>
    </row>
    <row r="96" spans="1:8">
      <c r="A96" t="s">
        <v>703</v>
      </c>
      <c r="B96" s="1">
        <v>45944.343009259261</v>
      </c>
      <c r="C96" s="3">
        <v>2</v>
      </c>
      <c r="D96" s="3">
        <v>58.25</v>
      </c>
      <c r="E96" t="str">
        <f t="shared" si="4"/>
        <v>CUST0099</v>
      </c>
      <c r="F96" s="4">
        <f t="shared" ca="1" si="5"/>
        <v>33.656990740739275</v>
      </c>
      <c r="G96">
        <f t="shared" si="6"/>
        <v>2</v>
      </c>
      <c r="H96">
        <f t="shared" si="7"/>
        <v>58.25</v>
      </c>
    </row>
    <row r="97" spans="1:8">
      <c r="A97" t="s">
        <v>1047</v>
      </c>
      <c r="B97" s="1">
        <v>45728.343009259261</v>
      </c>
      <c r="C97" s="3">
        <v>2</v>
      </c>
      <c r="D97" s="3">
        <v>18.39</v>
      </c>
      <c r="E97" t="str">
        <f t="shared" si="4"/>
        <v>CUST0100</v>
      </c>
      <c r="F97" s="4">
        <f t="shared" ca="1" si="5"/>
        <v>249.65699074073927</v>
      </c>
      <c r="G97">
        <f t="shared" si="6"/>
        <v>2</v>
      </c>
      <c r="H97">
        <f t="shared" si="7"/>
        <v>18.39</v>
      </c>
    </row>
    <row r="98" spans="1:8">
      <c r="A98" t="s">
        <v>33</v>
      </c>
      <c r="B98" s="1">
        <v>45786.343009259261</v>
      </c>
      <c r="C98" s="3">
        <v>3</v>
      </c>
      <c r="D98" s="3">
        <v>70.75</v>
      </c>
      <c r="E98" t="str">
        <f t="shared" si="4"/>
        <v>CUST0101</v>
      </c>
      <c r="F98" s="4">
        <f t="shared" ca="1" si="5"/>
        <v>191.65699074073927</v>
      </c>
      <c r="G98">
        <f t="shared" si="6"/>
        <v>3</v>
      </c>
      <c r="H98">
        <f t="shared" si="7"/>
        <v>70.75</v>
      </c>
    </row>
    <row r="99" spans="1:8">
      <c r="A99" t="s">
        <v>558</v>
      </c>
      <c r="B99" s="1">
        <v>45958.343009259261</v>
      </c>
      <c r="C99" s="3">
        <v>5</v>
      </c>
      <c r="D99" s="3">
        <v>108.92</v>
      </c>
      <c r="E99" t="str">
        <f t="shared" si="4"/>
        <v>CUST0102</v>
      </c>
      <c r="F99" s="4">
        <f t="shared" ca="1" si="5"/>
        <v>19.656990740739275</v>
      </c>
      <c r="G99">
        <f t="shared" si="6"/>
        <v>5</v>
      </c>
      <c r="H99">
        <f t="shared" si="7"/>
        <v>108.92</v>
      </c>
    </row>
    <row r="100" spans="1:8">
      <c r="A100" t="s">
        <v>606</v>
      </c>
      <c r="B100" s="1">
        <v>45631.343009259261</v>
      </c>
      <c r="C100" s="3">
        <v>2</v>
      </c>
      <c r="D100" s="3">
        <v>22.2</v>
      </c>
      <c r="E100" t="str">
        <f t="shared" si="4"/>
        <v>CUST0103</v>
      </c>
      <c r="F100" s="4">
        <f t="shared" ca="1" si="5"/>
        <v>346.65699074073927</v>
      </c>
      <c r="G100">
        <f t="shared" si="6"/>
        <v>2</v>
      </c>
      <c r="H100">
        <f t="shared" si="7"/>
        <v>22.2</v>
      </c>
    </row>
    <row r="101" spans="1:8">
      <c r="A101" t="s">
        <v>94</v>
      </c>
      <c r="B101" s="1">
        <v>45941.343009259261</v>
      </c>
      <c r="C101" s="3">
        <v>6</v>
      </c>
      <c r="D101" s="3">
        <v>164.74</v>
      </c>
      <c r="E101" t="str">
        <f t="shared" si="4"/>
        <v>CUST0104</v>
      </c>
      <c r="F101" s="4">
        <f t="shared" ca="1" si="5"/>
        <v>36.656990740739275</v>
      </c>
      <c r="G101">
        <f t="shared" si="6"/>
        <v>6</v>
      </c>
      <c r="H101">
        <f t="shared" si="7"/>
        <v>164.74</v>
      </c>
    </row>
    <row r="102" spans="1:8">
      <c r="A102" t="s">
        <v>723</v>
      </c>
      <c r="B102" s="1">
        <v>45695.343009259261</v>
      </c>
      <c r="C102" s="3">
        <v>2</v>
      </c>
      <c r="D102" s="3">
        <v>19.489999999999998</v>
      </c>
      <c r="E102" t="str">
        <f t="shared" si="4"/>
        <v>CUST0105</v>
      </c>
      <c r="F102" s="4">
        <f t="shared" ca="1" si="5"/>
        <v>282.65699074073927</v>
      </c>
      <c r="G102">
        <f t="shared" si="6"/>
        <v>2</v>
      </c>
      <c r="H102">
        <f t="shared" si="7"/>
        <v>19.489999999999998</v>
      </c>
    </row>
    <row r="103" spans="1:8">
      <c r="A103" t="s">
        <v>217</v>
      </c>
      <c r="B103" s="1">
        <v>45925.343009259261</v>
      </c>
      <c r="C103" s="3">
        <v>3</v>
      </c>
      <c r="D103" s="3">
        <v>91.44</v>
      </c>
      <c r="E103" t="str">
        <f t="shared" si="4"/>
        <v>CUST0106</v>
      </c>
      <c r="F103" s="4">
        <f t="shared" ca="1" si="5"/>
        <v>52.656990740739275</v>
      </c>
      <c r="G103">
        <f t="shared" si="6"/>
        <v>3</v>
      </c>
      <c r="H103">
        <f t="shared" si="7"/>
        <v>91.44</v>
      </c>
    </row>
    <row r="104" spans="1:8">
      <c r="A104" t="s">
        <v>687</v>
      </c>
      <c r="B104" s="1">
        <v>45834.343009259261</v>
      </c>
      <c r="C104" s="3">
        <v>3</v>
      </c>
      <c r="D104" s="3">
        <v>29.130000000000003</v>
      </c>
      <c r="E104" t="str">
        <f t="shared" si="4"/>
        <v>CUST0107</v>
      </c>
      <c r="F104" s="4">
        <f t="shared" ca="1" si="5"/>
        <v>143.65699074073927</v>
      </c>
      <c r="G104">
        <f t="shared" si="6"/>
        <v>3</v>
      </c>
      <c r="H104">
        <f t="shared" si="7"/>
        <v>29.130000000000003</v>
      </c>
    </row>
    <row r="105" spans="1:8">
      <c r="A105" t="s">
        <v>555</v>
      </c>
      <c r="B105" s="1">
        <v>45880.343009259261</v>
      </c>
      <c r="C105" s="3">
        <v>6</v>
      </c>
      <c r="D105" s="3">
        <v>72.05</v>
      </c>
      <c r="E105" t="str">
        <f t="shared" si="4"/>
        <v>CUST0108</v>
      </c>
      <c r="F105" s="4">
        <f t="shared" ca="1" si="5"/>
        <v>97.656990740739275</v>
      </c>
      <c r="G105">
        <f t="shared" si="6"/>
        <v>6</v>
      </c>
      <c r="H105">
        <f t="shared" si="7"/>
        <v>72.05</v>
      </c>
    </row>
    <row r="106" spans="1:8">
      <c r="A106" t="s">
        <v>458</v>
      </c>
      <c r="B106" s="1">
        <v>45632.343009259261</v>
      </c>
      <c r="C106" s="3">
        <v>1</v>
      </c>
      <c r="D106" s="3">
        <v>8.01</v>
      </c>
      <c r="E106" t="str">
        <f t="shared" si="4"/>
        <v>CUST0109</v>
      </c>
      <c r="F106" s="4">
        <f t="shared" ca="1" si="5"/>
        <v>345.65699074073927</v>
      </c>
      <c r="G106">
        <f t="shared" si="6"/>
        <v>1</v>
      </c>
      <c r="H106">
        <f t="shared" si="7"/>
        <v>8.01</v>
      </c>
    </row>
    <row r="107" spans="1:8">
      <c r="A107" t="s">
        <v>236</v>
      </c>
      <c r="B107" s="1">
        <v>45869.343009259261</v>
      </c>
      <c r="C107" s="3">
        <v>2</v>
      </c>
      <c r="D107" s="3">
        <v>52.1</v>
      </c>
      <c r="E107" t="str">
        <f t="shared" si="4"/>
        <v>CUST0110</v>
      </c>
      <c r="F107" s="4">
        <f t="shared" ca="1" si="5"/>
        <v>108.65699074073927</v>
      </c>
      <c r="G107">
        <f t="shared" si="6"/>
        <v>2</v>
      </c>
      <c r="H107">
        <f t="shared" si="7"/>
        <v>52.1</v>
      </c>
    </row>
    <row r="108" spans="1:8">
      <c r="A108" t="s">
        <v>130</v>
      </c>
      <c r="B108" s="1">
        <v>45955.343009259261</v>
      </c>
      <c r="C108" s="3">
        <v>5</v>
      </c>
      <c r="D108" s="3">
        <v>108.17999999999999</v>
      </c>
      <c r="E108" t="str">
        <f t="shared" si="4"/>
        <v>CUST0111</v>
      </c>
      <c r="F108" s="4">
        <f t="shared" ca="1" si="5"/>
        <v>22.656990740739275</v>
      </c>
      <c r="G108">
        <f t="shared" si="6"/>
        <v>5</v>
      </c>
      <c r="H108">
        <f t="shared" si="7"/>
        <v>108.17999999999999</v>
      </c>
    </row>
    <row r="109" spans="1:8">
      <c r="A109" t="s">
        <v>391</v>
      </c>
      <c r="B109" s="1">
        <v>45850.343009259261</v>
      </c>
      <c r="C109" s="3">
        <v>1</v>
      </c>
      <c r="D109" s="3">
        <v>11.81</v>
      </c>
      <c r="E109" t="str">
        <f t="shared" si="4"/>
        <v>CUST0112</v>
      </c>
      <c r="F109" s="4">
        <f t="shared" ca="1" si="5"/>
        <v>127.65699074073927</v>
      </c>
      <c r="G109">
        <f t="shared" si="6"/>
        <v>1</v>
      </c>
      <c r="H109">
        <f t="shared" si="7"/>
        <v>11.81</v>
      </c>
    </row>
    <row r="110" spans="1:8">
      <c r="A110" t="s">
        <v>325</v>
      </c>
      <c r="B110" s="1">
        <v>45913.343009259261</v>
      </c>
      <c r="C110" s="3">
        <v>3</v>
      </c>
      <c r="D110" s="3">
        <v>36.65</v>
      </c>
      <c r="E110" t="str">
        <f t="shared" si="4"/>
        <v>CUST0113</v>
      </c>
      <c r="F110" s="4">
        <f t="shared" ca="1" si="5"/>
        <v>64.656990740739275</v>
      </c>
      <c r="G110">
        <f t="shared" si="6"/>
        <v>3</v>
      </c>
      <c r="H110">
        <f t="shared" si="7"/>
        <v>36.65</v>
      </c>
    </row>
    <row r="111" spans="1:8">
      <c r="A111" t="s">
        <v>327</v>
      </c>
      <c r="B111" s="1">
        <v>45875.343009259261</v>
      </c>
      <c r="C111" s="3">
        <v>3</v>
      </c>
      <c r="D111" s="3">
        <v>57.95</v>
      </c>
      <c r="E111" t="str">
        <f t="shared" si="4"/>
        <v>CUST0114</v>
      </c>
      <c r="F111" s="4">
        <f t="shared" ca="1" si="5"/>
        <v>102.65699074073927</v>
      </c>
      <c r="G111">
        <f t="shared" si="6"/>
        <v>3</v>
      </c>
      <c r="H111">
        <f t="shared" si="7"/>
        <v>57.95</v>
      </c>
    </row>
    <row r="112" spans="1:8">
      <c r="A112" t="s">
        <v>177</v>
      </c>
      <c r="B112" s="1">
        <v>45862.343009259261</v>
      </c>
      <c r="C112" s="3">
        <v>3</v>
      </c>
      <c r="D112" s="3">
        <v>52.660000000000004</v>
      </c>
      <c r="E112" t="str">
        <f t="shared" si="4"/>
        <v>CUST0115</v>
      </c>
      <c r="F112" s="4">
        <f t="shared" ca="1" si="5"/>
        <v>115.65699074073927</v>
      </c>
      <c r="G112">
        <f t="shared" si="6"/>
        <v>3</v>
      </c>
      <c r="H112">
        <f t="shared" si="7"/>
        <v>52.660000000000004</v>
      </c>
    </row>
    <row r="113" spans="1:8">
      <c r="A113" t="s">
        <v>952</v>
      </c>
      <c r="B113" s="1">
        <v>45828.343009259261</v>
      </c>
      <c r="C113" s="3">
        <v>1</v>
      </c>
      <c r="D113" s="3">
        <v>4.38</v>
      </c>
      <c r="E113" t="str">
        <f t="shared" si="4"/>
        <v>CUST0116</v>
      </c>
      <c r="F113" s="4">
        <f t="shared" ca="1" si="5"/>
        <v>149.65699074073927</v>
      </c>
      <c r="G113">
        <f t="shared" si="6"/>
        <v>1</v>
      </c>
      <c r="H113">
        <f t="shared" si="7"/>
        <v>4.38</v>
      </c>
    </row>
    <row r="114" spans="1:8">
      <c r="A114" t="s">
        <v>248</v>
      </c>
      <c r="B114" s="1">
        <v>45946.343009259261</v>
      </c>
      <c r="C114" s="3">
        <v>7</v>
      </c>
      <c r="D114" s="3">
        <v>150.87</v>
      </c>
      <c r="E114" t="str">
        <f t="shared" si="4"/>
        <v>CUST0117</v>
      </c>
      <c r="F114" s="4">
        <f t="shared" ca="1" si="5"/>
        <v>31.656990740739275</v>
      </c>
      <c r="G114">
        <f t="shared" si="6"/>
        <v>7</v>
      </c>
      <c r="H114">
        <f t="shared" si="7"/>
        <v>150.87</v>
      </c>
    </row>
    <row r="115" spans="1:8">
      <c r="A115" t="s">
        <v>153</v>
      </c>
      <c r="B115" s="1">
        <v>45879.343009259261</v>
      </c>
      <c r="C115" s="3">
        <v>4</v>
      </c>
      <c r="D115" s="3">
        <v>46.040000000000006</v>
      </c>
      <c r="E115" t="str">
        <f t="shared" si="4"/>
        <v>CUST0118</v>
      </c>
      <c r="F115" s="4">
        <f t="shared" ca="1" si="5"/>
        <v>98.656990740739275</v>
      </c>
      <c r="G115">
        <f t="shared" si="6"/>
        <v>4</v>
      </c>
      <c r="H115">
        <f t="shared" si="7"/>
        <v>46.040000000000006</v>
      </c>
    </row>
    <row r="116" spans="1:8">
      <c r="A116" t="s">
        <v>409</v>
      </c>
      <c r="B116" s="1">
        <v>45907.343009259261</v>
      </c>
      <c r="C116" s="3">
        <v>5</v>
      </c>
      <c r="D116" s="3">
        <v>106.08</v>
      </c>
      <c r="E116" t="str">
        <f t="shared" si="4"/>
        <v>CUST0119</v>
      </c>
      <c r="F116" s="4">
        <f t="shared" ca="1" si="5"/>
        <v>70.656990740739275</v>
      </c>
      <c r="G116">
        <f t="shared" si="6"/>
        <v>5</v>
      </c>
      <c r="H116">
        <f t="shared" si="7"/>
        <v>106.08</v>
      </c>
    </row>
    <row r="117" spans="1:8">
      <c r="A117" t="s">
        <v>374</v>
      </c>
      <c r="B117" s="1">
        <v>45937.343009259261</v>
      </c>
      <c r="C117" s="3">
        <v>5</v>
      </c>
      <c r="D117" s="3">
        <v>88.56</v>
      </c>
      <c r="E117" t="str">
        <f t="shared" si="4"/>
        <v>CUST0120</v>
      </c>
      <c r="F117" s="4">
        <f t="shared" ca="1" si="5"/>
        <v>40.656990740739275</v>
      </c>
      <c r="G117">
        <f t="shared" si="6"/>
        <v>5</v>
      </c>
      <c r="H117">
        <f t="shared" si="7"/>
        <v>88.56</v>
      </c>
    </row>
    <row r="118" spans="1:8">
      <c r="A118" t="s">
        <v>1089</v>
      </c>
      <c r="B118" s="1">
        <v>45844.343009259261</v>
      </c>
      <c r="C118" s="3">
        <v>2</v>
      </c>
      <c r="D118" s="3">
        <v>44.730000000000004</v>
      </c>
      <c r="E118" t="str">
        <f t="shared" si="4"/>
        <v>CUST0121</v>
      </c>
      <c r="F118" s="4">
        <f t="shared" ca="1" si="5"/>
        <v>133.65699074073927</v>
      </c>
      <c r="G118">
        <f t="shared" si="6"/>
        <v>2</v>
      </c>
      <c r="H118">
        <f t="shared" si="7"/>
        <v>44.730000000000004</v>
      </c>
    </row>
    <row r="119" spans="1:8">
      <c r="A119" t="s">
        <v>493</v>
      </c>
      <c r="B119" s="1">
        <v>45905.343009259261</v>
      </c>
      <c r="C119" s="3">
        <v>3</v>
      </c>
      <c r="D119" s="3">
        <v>45.870000000000005</v>
      </c>
      <c r="E119" t="str">
        <f t="shared" si="4"/>
        <v>CUST0122</v>
      </c>
      <c r="F119" s="4">
        <f t="shared" ca="1" si="5"/>
        <v>72.656990740739275</v>
      </c>
      <c r="G119">
        <f t="shared" si="6"/>
        <v>3</v>
      </c>
      <c r="H119">
        <f t="shared" si="7"/>
        <v>45.870000000000005</v>
      </c>
    </row>
    <row r="120" spans="1:8">
      <c r="A120" t="s">
        <v>151</v>
      </c>
      <c r="B120" s="1">
        <v>45899.343009259261</v>
      </c>
      <c r="C120" s="3">
        <v>3</v>
      </c>
      <c r="D120" s="3">
        <v>59.820000000000007</v>
      </c>
      <c r="E120" t="str">
        <f t="shared" si="4"/>
        <v>CUST0123</v>
      </c>
      <c r="F120" s="4">
        <f t="shared" ca="1" si="5"/>
        <v>78.656990740739275</v>
      </c>
      <c r="G120">
        <f t="shared" si="6"/>
        <v>3</v>
      </c>
      <c r="H120">
        <f t="shared" si="7"/>
        <v>59.820000000000007</v>
      </c>
    </row>
    <row r="121" spans="1:8">
      <c r="A121" t="s">
        <v>736</v>
      </c>
      <c r="B121" s="1">
        <v>45775.343009259261</v>
      </c>
      <c r="C121" s="3">
        <v>2</v>
      </c>
      <c r="D121" s="3">
        <v>27.5</v>
      </c>
      <c r="E121" t="str">
        <f t="shared" si="4"/>
        <v>CUST0124</v>
      </c>
      <c r="F121" s="4">
        <f t="shared" ca="1" si="5"/>
        <v>202.65699074073927</v>
      </c>
      <c r="G121">
        <f t="shared" si="6"/>
        <v>2</v>
      </c>
      <c r="H121">
        <f t="shared" si="7"/>
        <v>27.5</v>
      </c>
    </row>
    <row r="122" spans="1:8">
      <c r="A122" t="s">
        <v>102</v>
      </c>
      <c r="B122" s="1">
        <v>45762.343009259261</v>
      </c>
      <c r="C122" s="3">
        <v>3</v>
      </c>
      <c r="D122" s="3">
        <v>41.379999999999995</v>
      </c>
      <c r="E122" t="str">
        <f t="shared" si="4"/>
        <v>CUST0125</v>
      </c>
      <c r="F122" s="4">
        <f t="shared" ca="1" si="5"/>
        <v>215.65699074073927</v>
      </c>
      <c r="G122">
        <f t="shared" si="6"/>
        <v>3</v>
      </c>
      <c r="H122">
        <f t="shared" si="7"/>
        <v>41.379999999999995</v>
      </c>
    </row>
    <row r="123" spans="1:8">
      <c r="A123" t="s">
        <v>1122</v>
      </c>
      <c r="B123" s="1">
        <v>45779.343009259261</v>
      </c>
      <c r="C123" s="3">
        <v>2</v>
      </c>
      <c r="D123" s="3">
        <v>20.420000000000002</v>
      </c>
      <c r="E123" t="str">
        <f t="shared" si="4"/>
        <v>CUST0126</v>
      </c>
      <c r="F123" s="4">
        <f t="shared" ca="1" si="5"/>
        <v>198.65699074073927</v>
      </c>
      <c r="G123">
        <f t="shared" si="6"/>
        <v>2</v>
      </c>
      <c r="H123">
        <f t="shared" si="7"/>
        <v>20.420000000000002</v>
      </c>
    </row>
    <row r="124" spans="1:8">
      <c r="A124" t="s">
        <v>215</v>
      </c>
      <c r="B124" s="1">
        <v>45823.343009259261</v>
      </c>
      <c r="C124" s="3">
        <v>2</v>
      </c>
      <c r="D124" s="3">
        <v>23.58</v>
      </c>
      <c r="E124" t="str">
        <f t="shared" si="4"/>
        <v>CUST0127</v>
      </c>
      <c r="F124" s="4">
        <f t="shared" ca="1" si="5"/>
        <v>154.65699074073927</v>
      </c>
      <c r="G124">
        <f t="shared" si="6"/>
        <v>2</v>
      </c>
      <c r="H124">
        <f t="shared" si="7"/>
        <v>23.58</v>
      </c>
    </row>
    <row r="125" spans="1:8">
      <c r="A125" t="s">
        <v>266</v>
      </c>
      <c r="B125" s="1">
        <v>45933.343009259261</v>
      </c>
      <c r="C125" s="3">
        <v>3</v>
      </c>
      <c r="D125" s="3">
        <v>53.66</v>
      </c>
      <c r="E125" t="str">
        <f t="shared" si="4"/>
        <v>CUST0128</v>
      </c>
      <c r="F125" s="4">
        <f t="shared" ca="1" si="5"/>
        <v>44.656990740739275</v>
      </c>
      <c r="G125">
        <f t="shared" si="6"/>
        <v>3</v>
      </c>
      <c r="H125">
        <f t="shared" si="7"/>
        <v>53.66</v>
      </c>
    </row>
    <row r="126" spans="1:8">
      <c r="A126" t="s">
        <v>542</v>
      </c>
      <c r="B126" s="1">
        <v>45815.343009259261</v>
      </c>
      <c r="C126" s="3">
        <v>3</v>
      </c>
      <c r="D126" s="3">
        <v>46.099999999999994</v>
      </c>
      <c r="E126" t="str">
        <f t="shared" si="4"/>
        <v>CUST0129</v>
      </c>
      <c r="F126" s="4">
        <f t="shared" ca="1" si="5"/>
        <v>162.65699074073927</v>
      </c>
      <c r="G126">
        <f t="shared" si="6"/>
        <v>3</v>
      </c>
      <c r="H126">
        <f t="shared" si="7"/>
        <v>46.099999999999994</v>
      </c>
    </row>
    <row r="127" spans="1:8">
      <c r="A127" t="s">
        <v>28</v>
      </c>
      <c r="B127" s="1">
        <v>45810.343009259261</v>
      </c>
      <c r="C127" s="3">
        <v>6</v>
      </c>
      <c r="D127" s="3">
        <v>70.78</v>
      </c>
      <c r="E127" t="str">
        <f t="shared" si="4"/>
        <v>CUST0130</v>
      </c>
      <c r="F127" s="4">
        <f t="shared" ca="1" si="5"/>
        <v>167.65699074073927</v>
      </c>
      <c r="G127">
        <f t="shared" si="6"/>
        <v>6</v>
      </c>
      <c r="H127">
        <f t="shared" si="7"/>
        <v>70.78</v>
      </c>
    </row>
    <row r="128" spans="1:8">
      <c r="A128" t="s">
        <v>337</v>
      </c>
      <c r="B128" s="1">
        <v>45949.343009259261</v>
      </c>
      <c r="C128" s="3">
        <v>5</v>
      </c>
      <c r="D128" s="3">
        <v>131.69</v>
      </c>
      <c r="E128" t="str">
        <f t="shared" si="4"/>
        <v>CUST0131</v>
      </c>
      <c r="F128" s="4">
        <f t="shared" ca="1" si="5"/>
        <v>28.656990740739275</v>
      </c>
      <c r="G128">
        <f t="shared" si="6"/>
        <v>5</v>
      </c>
      <c r="H128">
        <f t="shared" si="7"/>
        <v>131.69</v>
      </c>
    </row>
    <row r="129" spans="1:8">
      <c r="A129" t="s">
        <v>82</v>
      </c>
      <c r="B129" s="1">
        <v>45884.343009259261</v>
      </c>
      <c r="C129" s="3">
        <v>4</v>
      </c>
      <c r="D129" s="3">
        <v>65.009999999999991</v>
      </c>
      <c r="E129" t="str">
        <f t="shared" si="4"/>
        <v>CUST0132</v>
      </c>
      <c r="F129" s="4">
        <f t="shared" ca="1" si="5"/>
        <v>93.656990740739275</v>
      </c>
      <c r="G129">
        <f t="shared" si="6"/>
        <v>4</v>
      </c>
      <c r="H129">
        <f t="shared" si="7"/>
        <v>65.009999999999991</v>
      </c>
    </row>
    <row r="130" spans="1:8">
      <c r="A130" t="s">
        <v>211</v>
      </c>
      <c r="B130" s="1">
        <v>45923.343009259261</v>
      </c>
      <c r="C130" s="3">
        <v>4</v>
      </c>
      <c r="D130" s="3">
        <v>57.97</v>
      </c>
      <c r="E130" t="str">
        <f t="shared" si="4"/>
        <v>CUST0133</v>
      </c>
      <c r="F130" s="4">
        <f t="shared" ca="1" si="5"/>
        <v>54.656990740739275</v>
      </c>
      <c r="G130">
        <f t="shared" si="6"/>
        <v>4</v>
      </c>
      <c r="H130">
        <f t="shared" si="7"/>
        <v>57.97</v>
      </c>
    </row>
    <row r="131" spans="1:8">
      <c r="A131" t="s">
        <v>122</v>
      </c>
      <c r="B131" s="1">
        <v>45859.343009259261</v>
      </c>
      <c r="C131" s="3">
        <v>4</v>
      </c>
      <c r="D131" s="3">
        <v>53.77</v>
      </c>
      <c r="E131" t="str">
        <f t="shared" si="4"/>
        <v>CUST0134</v>
      </c>
      <c r="F131" s="4">
        <f t="shared" ca="1" si="5"/>
        <v>118.65699074073927</v>
      </c>
      <c r="G131">
        <f t="shared" si="6"/>
        <v>4</v>
      </c>
      <c r="H131">
        <f t="shared" si="7"/>
        <v>53.77</v>
      </c>
    </row>
    <row r="132" spans="1:8">
      <c r="A132" t="s">
        <v>167</v>
      </c>
      <c r="B132" s="1">
        <v>45933.343009259261</v>
      </c>
      <c r="C132" s="3">
        <v>3</v>
      </c>
      <c r="D132" s="3">
        <v>52.02</v>
      </c>
      <c r="E132" t="str">
        <f t="shared" si="4"/>
        <v>CUST0136</v>
      </c>
      <c r="F132" s="4">
        <f t="shared" ca="1" si="5"/>
        <v>44.656990740739275</v>
      </c>
      <c r="G132">
        <f t="shared" si="6"/>
        <v>3</v>
      </c>
      <c r="H132">
        <f t="shared" si="7"/>
        <v>52.02</v>
      </c>
    </row>
    <row r="133" spans="1:8">
      <c r="A133" t="s">
        <v>49</v>
      </c>
      <c r="B133" s="1">
        <v>45954.343009259261</v>
      </c>
      <c r="C133" s="3">
        <v>4</v>
      </c>
      <c r="D133" s="3">
        <v>34.400000000000006</v>
      </c>
      <c r="E133" t="str">
        <f t="shared" ref="E133:E196" si="8">A133</f>
        <v>CUST0137</v>
      </c>
      <c r="F133" s="4">
        <f t="shared" ref="F133:F196" ca="1" si="9">TODAY()-B133</f>
        <v>23.656990740739275</v>
      </c>
      <c r="G133">
        <f t="shared" ref="G133:G196" si="10">C133</f>
        <v>4</v>
      </c>
      <c r="H133">
        <f t="shared" ref="H133:H196" si="11">D133</f>
        <v>34.400000000000006</v>
      </c>
    </row>
    <row r="134" spans="1:8">
      <c r="A134" t="s">
        <v>20</v>
      </c>
      <c r="B134" s="1">
        <v>45784.343009259261</v>
      </c>
      <c r="C134" s="3">
        <v>1</v>
      </c>
      <c r="D134" s="3">
        <v>15.44</v>
      </c>
      <c r="E134" t="str">
        <f t="shared" si="8"/>
        <v>CUST0138</v>
      </c>
      <c r="F134" s="4">
        <f t="shared" ca="1" si="9"/>
        <v>193.65699074073927</v>
      </c>
      <c r="G134">
        <f t="shared" si="10"/>
        <v>1</v>
      </c>
      <c r="H134">
        <f t="shared" si="11"/>
        <v>15.44</v>
      </c>
    </row>
    <row r="135" spans="1:8">
      <c r="A135" t="s">
        <v>665</v>
      </c>
      <c r="B135" s="1">
        <v>45753.343009259261</v>
      </c>
      <c r="C135" s="3">
        <v>1</v>
      </c>
      <c r="D135" s="3">
        <v>27.37</v>
      </c>
      <c r="E135" t="str">
        <f t="shared" si="8"/>
        <v>CUST0140</v>
      </c>
      <c r="F135" s="4">
        <f t="shared" ca="1" si="9"/>
        <v>224.65699074073927</v>
      </c>
      <c r="G135">
        <f t="shared" si="10"/>
        <v>1</v>
      </c>
      <c r="H135">
        <f t="shared" si="11"/>
        <v>27.37</v>
      </c>
    </row>
    <row r="136" spans="1:8">
      <c r="A136" t="s">
        <v>202</v>
      </c>
      <c r="B136" s="1">
        <v>45926.343009259261</v>
      </c>
      <c r="C136" s="3">
        <v>5</v>
      </c>
      <c r="D136" s="3">
        <v>35.08</v>
      </c>
      <c r="E136" t="str">
        <f t="shared" si="8"/>
        <v>CUST0141</v>
      </c>
      <c r="F136" s="4">
        <f t="shared" ca="1" si="9"/>
        <v>51.656990740739275</v>
      </c>
      <c r="G136">
        <f t="shared" si="10"/>
        <v>5</v>
      </c>
      <c r="H136">
        <f t="shared" si="11"/>
        <v>35.08</v>
      </c>
    </row>
    <row r="137" spans="1:8">
      <c r="A137" t="s">
        <v>657</v>
      </c>
      <c r="B137" s="1">
        <v>45950.343009259261</v>
      </c>
      <c r="C137" s="3">
        <v>2</v>
      </c>
      <c r="D137" s="3">
        <v>40.78</v>
      </c>
      <c r="E137" t="str">
        <f t="shared" si="8"/>
        <v>CUST0142</v>
      </c>
      <c r="F137" s="4">
        <f t="shared" ca="1" si="9"/>
        <v>27.656990740739275</v>
      </c>
      <c r="G137">
        <f t="shared" si="10"/>
        <v>2</v>
      </c>
      <c r="H137">
        <f t="shared" si="11"/>
        <v>40.78</v>
      </c>
    </row>
    <row r="138" spans="1:8">
      <c r="A138" t="s">
        <v>108</v>
      </c>
      <c r="B138" s="1">
        <v>45911.343009259261</v>
      </c>
      <c r="C138" s="3">
        <v>6</v>
      </c>
      <c r="D138" s="3">
        <v>170.41</v>
      </c>
      <c r="E138" t="str">
        <f t="shared" si="8"/>
        <v>CUST0143</v>
      </c>
      <c r="F138" s="4">
        <f t="shared" ca="1" si="9"/>
        <v>66.656990740739275</v>
      </c>
      <c r="G138">
        <f t="shared" si="10"/>
        <v>6</v>
      </c>
      <c r="H138">
        <f t="shared" si="11"/>
        <v>170.41</v>
      </c>
    </row>
    <row r="139" spans="1:8">
      <c r="A139" t="s">
        <v>313</v>
      </c>
      <c r="B139" s="1">
        <v>45877.343009259261</v>
      </c>
      <c r="C139" s="3">
        <v>2</v>
      </c>
      <c r="D139" s="3">
        <v>16.04</v>
      </c>
      <c r="E139" t="str">
        <f t="shared" si="8"/>
        <v>CUST0144</v>
      </c>
      <c r="F139" s="4">
        <f t="shared" ca="1" si="9"/>
        <v>100.65699074073927</v>
      </c>
      <c r="G139">
        <f t="shared" si="10"/>
        <v>2</v>
      </c>
      <c r="H139">
        <f t="shared" si="11"/>
        <v>16.04</v>
      </c>
    </row>
    <row r="140" spans="1:8">
      <c r="A140" t="s">
        <v>112</v>
      </c>
      <c r="B140" s="1">
        <v>45837.343009259261</v>
      </c>
      <c r="C140" s="3">
        <v>5</v>
      </c>
      <c r="D140" s="3">
        <v>85.98</v>
      </c>
      <c r="E140" t="str">
        <f t="shared" si="8"/>
        <v>CUST0145</v>
      </c>
      <c r="F140" s="4">
        <f t="shared" ca="1" si="9"/>
        <v>140.65699074073927</v>
      </c>
      <c r="G140">
        <f t="shared" si="10"/>
        <v>5</v>
      </c>
      <c r="H140">
        <f t="shared" si="11"/>
        <v>85.98</v>
      </c>
    </row>
    <row r="141" spans="1:8">
      <c r="A141" t="s">
        <v>465</v>
      </c>
      <c r="B141" s="1">
        <v>45910.343009259261</v>
      </c>
      <c r="C141" s="3">
        <v>4</v>
      </c>
      <c r="D141" s="3">
        <v>64.989999999999995</v>
      </c>
      <c r="E141" t="str">
        <f t="shared" si="8"/>
        <v>CUST0146</v>
      </c>
      <c r="F141" s="4">
        <f t="shared" ca="1" si="9"/>
        <v>67.656990740739275</v>
      </c>
      <c r="G141">
        <f t="shared" si="10"/>
        <v>4</v>
      </c>
      <c r="H141">
        <f t="shared" si="11"/>
        <v>64.989999999999995</v>
      </c>
    </row>
    <row r="142" spans="1:8">
      <c r="A142" t="s">
        <v>389</v>
      </c>
      <c r="B142" s="1">
        <v>45863.343009259261</v>
      </c>
      <c r="C142" s="3">
        <v>5</v>
      </c>
      <c r="D142" s="3">
        <v>98.47999999999999</v>
      </c>
      <c r="E142" t="str">
        <f t="shared" si="8"/>
        <v>CUST0147</v>
      </c>
      <c r="F142" s="4">
        <f t="shared" ca="1" si="9"/>
        <v>114.65699074073927</v>
      </c>
      <c r="G142">
        <f t="shared" si="10"/>
        <v>5</v>
      </c>
      <c r="H142">
        <f t="shared" si="11"/>
        <v>98.47999999999999</v>
      </c>
    </row>
    <row r="143" spans="1:8">
      <c r="A143" t="s">
        <v>190</v>
      </c>
      <c r="B143" s="1">
        <v>45939.343009259261</v>
      </c>
      <c r="C143" s="3">
        <v>5</v>
      </c>
      <c r="D143" s="3">
        <v>90.62</v>
      </c>
      <c r="E143" t="str">
        <f t="shared" si="8"/>
        <v>CUST0148</v>
      </c>
      <c r="F143" s="4">
        <f t="shared" ca="1" si="9"/>
        <v>38.656990740739275</v>
      </c>
      <c r="G143">
        <f t="shared" si="10"/>
        <v>5</v>
      </c>
      <c r="H143">
        <f t="shared" si="11"/>
        <v>90.62</v>
      </c>
    </row>
    <row r="144" spans="1:8">
      <c r="A144" t="s">
        <v>243</v>
      </c>
      <c r="B144" s="1">
        <v>45915.343009259261</v>
      </c>
      <c r="C144" s="3">
        <v>4</v>
      </c>
      <c r="D144" s="3">
        <v>61.65</v>
      </c>
      <c r="E144" t="str">
        <f t="shared" si="8"/>
        <v>CUST0149</v>
      </c>
      <c r="F144" s="4">
        <f t="shared" ca="1" si="9"/>
        <v>62.656990740739275</v>
      </c>
      <c r="G144">
        <f t="shared" si="10"/>
        <v>4</v>
      </c>
      <c r="H144">
        <f t="shared" si="11"/>
        <v>61.65</v>
      </c>
    </row>
    <row r="145" spans="1:8">
      <c r="A145" t="s">
        <v>284</v>
      </c>
      <c r="B145" s="1">
        <v>45714.343009259261</v>
      </c>
      <c r="C145" s="3">
        <v>3</v>
      </c>
      <c r="D145" s="3">
        <v>90.490000000000009</v>
      </c>
      <c r="E145" t="str">
        <f t="shared" si="8"/>
        <v>CUST0150</v>
      </c>
      <c r="F145" s="4">
        <f t="shared" ca="1" si="9"/>
        <v>263.65699074073927</v>
      </c>
      <c r="G145">
        <f t="shared" si="10"/>
        <v>3</v>
      </c>
      <c r="H145">
        <f t="shared" si="11"/>
        <v>90.490000000000009</v>
      </c>
    </row>
    <row r="146" spans="1:8">
      <c r="A146" t="s">
        <v>385</v>
      </c>
      <c r="B146" s="1">
        <v>45798.343009259261</v>
      </c>
      <c r="C146" s="3">
        <v>2</v>
      </c>
      <c r="D146" s="3">
        <v>21.74</v>
      </c>
      <c r="E146" t="str">
        <f t="shared" si="8"/>
        <v>CUST0151</v>
      </c>
      <c r="F146" s="4">
        <f t="shared" ca="1" si="9"/>
        <v>179.65699074073927</v>
      </c>
      <c r="G146">
        <f t="shared" si="10"/>
        <v>2</v>
      </c>
      <c r="H146">
        <f t="shared" si="11"/>
        <v>21.74</v>
      </c>
    </row>
    <row r="147" spans="1:8">
      <c r="A147" t="s">
        <v>272</v>
      </c>
      <c r="B147" s="1">
        <v>45878.343009259261</v>
      </c>
      <c r="C147" s="3">
        <v>6</v>
      </c>
      <c r="D147" s="3">
        <v>92.440000000000012</v>
      </c>
      <c r="E147" t="str">
        <f t="shared" si="8"/>
        <v>CUST0152</v>
      </c>
      <c r="F147" s="4">
        <f t="shared" ca="1" si="9"/>
        <v>99.656990740739275</v>
      </c>
      <c r="G147">
        <f t="shared" si="10"/>
        <v>6</v>
      </c>
      <c r="H147">
        <f t="shared" si="11"/>
        <v>92.440000000000012</v>
      </c>
    </row>
    <row r="148" spans="1:8">
      <c r="A148" t="s">
        <v>110</v>
      </c>
      <c r="B148" s="1">
        <v>45870.343009259261</v>
      </c>
      <c r="C148" s="3">
        <v>6</v>
      </c>
      <c r="D148" s="3">
        <v>92.68</v>
      </c>
      <c r="E148" t="str">
        <f t="shared" si="8"/>
        <v>CUST0153</v>
      </c>
      <c r="F148" s="4">
        <f t="shared" ca="1" si="9"/>
        <v>107.65699074073927</v>
      </c>
      <c r="G148">
        <f t="shared" si="10"/>
        <v>6</v>
      </c>
      <c r="H148">
        <f t="shared" si="11"/>
        <v>92.68</v>
      </c>
    </row>
    <row r="149" spans="1:8">
      <c r="A149" t="s">
        <v>250</v>
      </c>
      <c r="B149" s="1">
        <v>45900.343009259261</v>
      </c>
      <c r="C149" s="3">
        <v>7</v>
      </c>
      <c r="D149" s="3">
        <v>88.160000000000011</v>
      </c>
      <c r="E149" t="str">
        <f t="shared" si="8"/>
        <v>CUST0154</v>
      </c>
      <c r="F149" s="4">
        <f t="shared" ca="1" si="9"/>
        <v>77.656990740739275</v>
      </c>
      <c r="G149">
        <f t="shared" si="10"/>
        <v>7</v>
      </c>
      <c r="H149">
        <f t="shared" si="11"/>
        <v>88.160000000000011</v>
      </c>
    </row>
    <row r="150" spans="1:8">
      <c r="A150" t="s">
        <v>776</v>
      </c>
      <c r="B150" s="1">
        <v>45848.343009259261</v>
      </c>
      <c r="C150" s="3">
        <v>2</v>
      </c>
      <c r="D150" s="3">
        <v>33.090000000000003</v>
      </c>
      <c r="E150" t="str">
        <f t="shared" si="8"/>
        <v>CUST0155</v>
      </c>
      <c r="F150" s="4">
        <f t="shared" ca="1" si="9"/>
        <v>129.65699074073927</v>
      </c>
      <c r="G150">
        <f t="shared" si="10"/>
        <v>2</v>
      </c>
      <c r="H150">
        <f t="shared" si="11"/>
        <v>33.090000000000003</v>
      </c>
    </row>
    <row r="151" spans="1:8">
      <c r="A151" t="s">
        <v>287</v>
      </c>
      <c r="B151" s="1">
        <v>45696.343009259261</v>
      </c>
      <c r="C151" s="3">
        <v>3</v>
      </c>
      <c r="D151" s="3">
        <v>72.319999999999993</v>
      </c>
      <c r="E151" t="str">
        <f t="shared" si="8"/>
        <v>CUST0156</v>
      </c>
      <c r="F151" s="4">
        <f t="shared" ca="1" si="9"/>
        <v>281.65699074073927</v>
      </c>
      <c r="G151">
        <f t="shared" si="10"/>
        <v>3</v>
      </c>
      <c r="H151">
        <f t="shared" si="11"/>
        <v>72.319999999999993</v>
      </c>
    </row>
    <row r="152" spans="1:8">
      <c r="A152" t="s">
        <v>132</v>
      </c>
      <c r="B152" s="1">
        <v>45912.343009259261</v>
      </c>
      <c r="C152" s="3">
        <v>7</v>
      </c>
      <c r="D152" s="3">
        <v>132.82999999999998</v>
      </c>
      <c r="E152" t="str">
        <f t="shared" si="8"/>
        <v>CUST0157</v>
      </c>
      <c r="F152" s="4">
        <f t="shared" ca="1" si="9"/>
        <v>65.656990740739275</v>
      </c>
      <c r="G152">
        <f t="shared" si="10"/>
        <v>7</v>
      </c>
      <c r="H152">
        <f t="shared" si="11"/>
        <v>132.82999999999998</v>
      </c>
    </row>
    <row r="153" spans="1:8">
      <c r="A153" t="s">
        <v>309</v>
      </c>
      <c r="B153" s="1">
        <v>45906.343009259261</v>
      </c>
      <c r="C153" s="3">
        <v>5</v>
      </c>
      <c r="D153" s="3">
        <v>77.510000000000005</v>
      </c>
      <c r="E153" t="str">
        <f t="shared" si="8"/>
        <v>CUST0158</v>
      </c>
      <c r="F153" s="4">
        <f t="shared" ca="1" si="9"/>
        <v>71.656990740739275</v>
      </c>
      <c r="G153">
        <f t="shared" si="10"/>
        <v>5</v>
      </c>
      <c r="H153">
        <f t="shared" si="11"/>
        <v>77.510000000000005</v>
      </c>
    </row>
    <row r="154" spans="1:8">
      <c r="A154" t="s">
        <v>157</v>
      </c>
      <c r="B154" s="1">
        <v>45916.343009259261</v>
      </c>
      <c r="C154" s="3">
        <v>5</v>
      </c>
      <c r="D154" s="3">
        <v>85.34</v>
      </c>
      <c r="E154" t="str">
        <f t="shared" si="8"/>
        <v>CUST0159</v>
      </c>
      <c r="F154" s="4">
        <f t="shared" ca="1" si="9"/>
        <v>61.656990740739275</v>
      </c>
      <c r="G154">
        <f t="shared" si="10"/>
        <v>5</v>
      </c>
      <c r="H154">
        <f t="shared" si="11"/>
        <v>85.34</v>
      </c>
    </row>
    <row r="155" spans="1:8">
      <c r="A155" t="s">
        <v>713</v>
      </c>
      <c r="B155" s="1">
        <v>45951.343009259261</v>
      </c>
      <c r="C155" s="3">
        <v>4</v>
      </c>
      <c r="D155" s="3">
        <v>59.02</v>
      </c>
      <c r="E155" t="str">
        <f t="shared" si="8"/>
        <v>CUST0160</v>
      </c>
      <c r="F155" s="4">
        <f t="shared" ca="1" si="9"/>
        <v>26.656990740739275</v>
      </c>
      <c r="G155">
        <f t="shared" si="10"/>
        <v>4</v>
      </c>
      <c r="H155">
        <f t="shared" si="11"/>
        <v>59.02</v>
      </c>
    </row>
    <row r="156" spans="1:8">
      <c r="A156" t="s">
        <v>9</v>
      </c>
      <c r="B156" s="1">
        <v>45944.343009259261</v>
      </c>
      <c r="C156" s="3">
        <v>8</v>
      </c>
      <c r="D156" s="3">
        <v>103.61000000000001</v>
      </c>
      <c r="E156" t="str">
        <f t="shared" si="8"/>
        <v>CUST0161</v>
      </c>
      <c r="F156" s="4">
        <f t="shared" ca="1" si="9"/>
        <v>33.656990740739275</v>
      </c>
      <c r="G156">
        <f t="shared" si="10"/>
        <v>8</v>
      </c>
      <c r="H156">
        <f t="shared" si="11"/>
        <v>103.61000000000001</v>
      </c>
    </row>
    <row r="157" spans="1:8">
      <c r="A157" t="s">
        <v>342</v>
      </c>
      <c r="B157" s="1">
        <v>45828.343009259261</v>
      </c>
      <c r="C157" s="3">
        <v>2</v>
      </c>
      <c r="D157" s="3">
        <v>14.67</v>
      </c>
      <c r="E157" t="str">
        <f t="shared" si="8"/>
        <v>CUST0162</v>
      </c>
      <c r="F157" s="4">
        <f t="shared" ca="1" si="9"/>
        <v>149.65699074073927</v>
      </c>
      <c r="G157">
        <f t="shared" si="10"/>
        <v>2</v>
      </c>
      <c r="H157">
        <f t="shared" si="11"/>
        <v>14.67</v>
      </c>
    </row>
    <row r="158" spans="1:8">
      <c r="A158" t="s">
        <v>809</v>
      </c>
      <c r="B158" s="1">
        <v>45746.343009259261</v>
      </c>
      <c r="C158" s="3">
        <v>3</v>
      </c>
      <c r="D158" s="3">
        <v>29.840000000000003</v>
      </c>
      <c r="E158" t="str">
        <f t="shared" si="8"/>
        <v>CUST0163</v>
      </c>
      <c r="F158" s="4">
        <f t="shared" ca="1" si="9"/>
        <v>231.65699074073927</v>
      </c>
      <c r="G158">
        <f t="shared" si="10"/>
        <v>3</v>
      </c>
      <c r="H158">
        <f t="shared" si="11"/>
        <v>29.840000000000003</v>
      </c>
    </row>
    <row r="159" spans="1:8">
      <c r="A159" t="s">
        <v>511</v>
      </c>
      <c r="B159" s="1">
        <v>45860.343009259261</v>
      </c>
      <c r="C159" s="3">
        <v>4</v>
      </c>
      <c r="D159" s="3">
        <v>52.29</v>
      </c>
      <c r="E159" t="str">
        <f t="shared" si="8"/>
        <v>CUST0164</v>
      </c>
      <c r="F159" s="4">
        <f t="shared" ca="1" si="9"/>
        <v>117.65699074073927</v>
      </c>
      <c r="G159">
        <f t="shared" si="10"/>
        <v>4</v>
      </c>
      <c r="H159">
        <f t="shared" si="11"/>
        <v>52.29</v>
      </c>
    </row>
    <row r="160" spans="1:8">
      <c r="A160" t="s">
        <v>74</v>
      </c>
      <c r="B160" s="1">
        <v>45842.343009259261</v>
      </c>
      <c r="C160" s="3">
        <v>4</v>
      </c>
      <c r="D160" s="3">
        <v>85.34</v>
      </c>
      <c r="E160" t="str">
        <f t="shared" si="8"/>
        <v>CUST0165</v>
      </c>
      <c r="F160" s="4">
        <f t="shared" ca="1" si="9"/>
        <v>135.65699074073927</v>
      </c>
      <c r="G160">
        <f t="shared" si="10"/>
        <v>4</v>
      </c>
      <c r="H160">
        <f t="shared" si="11"/>
        <v>85.34</v>
      </c>
    </row>
    <row r="161" spans="1:8">
      <c r="A161" t="s">
        <v>331</v>
      </c>
      <c r="B161" s="1">
        <v>45956.343009259261</v>
      </c>
      <c r="C161" s="3">
        <v>4</v>
      </c>
      <c r="D161" s="3">
        <v>137.26</v>
      </c>
      <c r="E161" t="str">
        <f t="shared" si="8"/>
        <v>CUST0166</v>
      </c>
      <c r="F161" s="4">
        <f t="shared" ca="1" si="9"/>
        <v>21.656990740739275</v>
      </c>
      <c r="G161">
        <f t="shared" si="10"/>
        <v>4</v>
      </c>
      <c r="H161">
        <f t="shared" si="11"/>
        <v>137.26</v>
      </c>
    </row>
    <row r="162" spans="1:8">
      <c r="A162" t="s">
        <v>1280</v>
      </c>
      <c r="B162" s="1">
        <v>45713.343009259261</v>
      </c>
      <c r="C162" s="3">
        <v>1</v>
      </c>
      <c r="D162" s="3">
        <v>10.17</v>
      </c>
      <c r="E162" t="str">
        <f t="shared" si="8"/>
        <v>CUST0167</v>
      </c>
      <c r="F162" s="4">
        <f t="shared" ca="1" si="9"/>
        <v>264.65699074073927</v>
      </c>
      <c r="G162">
        <f t="shared" si="10"/>
        <v>1</v>
      </c>
      <c r="H162">
        <f t="shared" si="11"/>
        <v>10.17</v>
      </c>
    </row>
    <row r="163" spans="1:8">
      <c r="A163" t="s">
        <v>26</v>
      </c>
      <c r="B163" s="1">
        <v>45918.343009259261</v>
      </c>
      <c r="C163" s="3">
        <v>3</v>
      </c>
      <c r="D163" s="3">
        <v>58.050000000000004</v>
      </c>
      <c r="E163" t="str">
        <f t="shared" si="8"/>
        <v>CUST0168</v>
      </c>
      <c r="F163" s="4">
        <f t="shared" ca="1" si="9"/>
        <v>59.656990740739275</v>
      </c>
      <c r="G163">
        <f t="shared" si="10"/>
        <v>3</v>
      </c>
      <c r="H163">
        <f t="shared" si="11"/>
        <v>58.050000000000004</v>
      </c>
    </row>
    <row r="164" spans="1:8">
      <c r="A164" t="s">
        <v>767</v>
      </c>
      <c r="B164" s="1">
        <v>45638.343009259261</v>
      </c>
      <c r="C164" s="3">
        <v>2</v>
      </c>
      <c r="D164" s="3">
        <v>53.61</v>
      </c>
      <c r="E164" t="str">
        <f t="shared" si="8"/>
        <v>CUST0169</v>
      </c>
      <c r="F164" s="4">
        <f t="shared" ca="1" si="9"/>
        <v>339.65699074073927</v>
      </c>
      <c r="G164">
        <f t="shared" si="10"/>
        <v>2</v>
      </c>
      <c r="H164">
        <f t="shared" si="11"/>
        <v>53.61</v>
      </c>
    </row>
    <row r="165" spans="1:8">
      <c r="A165" t="s">
        <v>628</v>
      </c>
      <c r="B165" s="1">
        <v>45930.343009259261</v>
      </c>
      <c r="C165" s="3">
        <v>4</v>
      </c>
      <c r="D165" s="3">
        <v>62.59</v>
      </c>
      <c r="E165" t="str">
        <f t="shared" si="8"/>
        <v>CUST0170</v>
      </c>
      <c r="F165" s="4">
        <f t="shared" ca="1" si="9"/>
        <v>47.656990740739275</v>
      </c>
      <c r="G165">
        <f t="shared" si="10"/>
        <v>4</v>
      </c>
      <c r="H165">
        <f t="shared" si="11"/>
        <v>62.59</v>
      </c>
    </row>
    <row r="166" spans="1:8">
      <c r="A166" t="s">
        <v>209</v>
      </c>
      <c r="B166" s="1">
        <v>45883.343009259261</v>
      </c>
      <c r="C166" s="3">
        <v>3</v>
      </c>
      <c r="D166" s="3">
        <v>37.590000000000003</v>
      </c>
      <c r="E166" t="str">
        <f t="shared" si="8"/>
        <v>CUST0171</v>
      </c>
      <c r="F166" s="4">
        <f t="shared" ca="1" si="9"/>
        <v>94.656990740739275</v>
      </c>
      <c r="G166">
        <f t="shared" si="10"/>
        <v>3</v>
      </c>
      <c r="H166">
        <f t="shared" si="11"/>
        <v>37.590000000000003</v>
      </c>
    </row>
    <row r="167" spans="1:8">
      <c r="A167" t="s">
        <v>22</v>
      </c>
      <c r="B167" s="1">
        <v>45906.343009259261</v>
      </c>
      <c r="C167" s="3">
        <v>3</v>
      </c>
      <c r="D167" s="3">
        <v>61.62</v>
      </c>
      <c r="E167" t="str">
        <f t="shared" si="8"/>
        <v>CUST0172</v>
      </c>
      <c r="F167" s="4">
        <f t="shared" ca="1" si="9"/>
        <v>71.656990740739275</v>
      </c>
      <c r="G167">
        <f t="shared" si="10"/>
        <v>3</v>
      </c>
      <c r="H167">
        <f t="shared" si="11"/>
        <v>61.62</v>
      </c>
    </row>
    <row r="168" spans="1:8">
      <c r="A168" t="s">
        <v>173</v>
      </c>
      <c r="B168" s="1">
        <v>45933.343009259261</v>
      </c>
      <c r="C168" s="3">
        <v>4</v>
      </c>
      <c r="D168" s="3">
        <v>52.510000000000005</v>
      </c>
      <c r="E168" t="str">
        <f t="shared" si="8"/>
        <v>CUST0173</v>
      </c>
      <c r="F168" s="4">
        <f t="shared" ca="1" si="9"/>
        <v>44.656990740739275</v>
      </c>
      <c r="G168">
        <f t="shared" si="10"/>
        <v>4</v>
      </c>
      <c r="H168">
        <f t="shared" si="11"/>
        <v>52.510000000000005</v>
      </c>
    </row>
    <row r="169" spans="1:8">
      <c r="A169" t="s">
        <v>896</v>
      </c>
      <c r="B169" s="1">
        <v>45922.343009259261</v>
      </c>
      <c r="C169" s="3">
        <v>2</v>
      </c>
      <c r="D169" s="3">
        <v>55.1</v>
      </c>
      <c r="E169" t="str">
        <f t="shared" si="8"/>
        <v>CUST0174</v>
      </c>
      <c r="F169" s="4">
        <f t="shared" ca="1" si="9"/>
        <v>55.656990740739275</v>
      </c>
      <c r="G169">
        <f t="shared" si="10"/>
        <v>2</v>
      </c>
      <c r="H169">
        <f t="shared" si="11"/>
        <v>55.1</v>
      </c>
    </row>
    <row r="170" spans="1:8">
      <c r="A170" t="s">
        <v>321</v>
      </c>
      <c r="B170" s="1">
        <v>45930.343009259261</v>
      </c>
      <c r="C170" s="3">
        <v>6</v>
      </c>
      <c r="D170" s="3">
        <v>86.22</v>
      </c>
      <c r="E170" t="str">
        <f t="shared" si="8"/>
        <v>CUST0175</v>
      </c>
      <c r="F170" s="4">
        <f t="shared" ca="1" si="9"/>
        <v>47.656990740739275</v>
      </c>
      <c r="G170">
        <f t="shared" si="10"/>
        <v>6</v>
      </c>
      <c r="H170">
        <f t="shared" si="11"/>
        <v>86.22</v>
      </c>
    </row>
    <row r="171" spans="1:8">
      <c r="A171" t="s">
        <v>601</v>
      </c>
      <c r="B171" s="1">
        <v>45920.343009259261</v>
      </c>
      <c r="C171" s="3">
        <v>4</v>
      </c>
      <c r="D171" s="3">
        <v>107.85</v>
      </c>
      <c r="E171" t="str">
        <f t="shared" si="8"/>
        <v>CUST0176</v>
      </c>
      <c r="F171" s="4">
        <f t="shared" ca="1" si="9"/>
        <v>57.656990740739275</v>
      </c>
      <c r="G171">
        <f t="shared" si="10"/>
        <v>4</v>
      </c>
      <c r="H171">
        <f t="shared" si="11"/>
        <v>107.85</v>
      </c>
    </row>
    <row r="172" spans="1:8">
      <c r="A172" t="s">
        <v>279</v>
      </c>
      <c r="B172" s="1">
        <v>45945.343009259261</v>
      </c>
      <c r="C172" s="3">
        <v>5</v>
      </c>
      <c r="D172" s="3">
        <v>122.91</v>
      </c>
      <c r="E172" t="str">
        <f t="shared" si="8"/>
        <v>CUST0177</v>
      </c>
      <c r="F172" s="4">
        <f t="shared" ca="1" si="9"/>
        <v>32.656990740739275</v>
      </c>
      <c r="G172">
        <f t="shared" si="10"/>
        <v>5</v>
      </c>
      <c r="H172">
        <f t="shared" si="11"/>
        <v>122.91</v>
      </c>
    </row>
    <row r="173" spans="1:8">
      <c r="A173" t="s">
        <v>12</v>
      </c>
      <c r="B173" s="1">
        <v>45866.343009259261</v>
      </c>
      <c r="C173" s="3">
        <v>5</v>
      </c>
      <c r="D173" s="3">
        <v>114.12</v>
      </c>
      <c r="E173" t="str">
        <f t="shared" si="8"/>
        <v>CUST0178</v>
      </c>
      <c r="F173" s="4">
        <f t="shared" ca="1" si="9"/>
        <v>111.65699074073927</v>
      </c>
      <c r="G173">
        <f t="shared" si="10"/>
        <v>5</v>
      </c>
      <c r="H173">
        <f t="shared" si="11"/>
        <v>114.12</v>
      </c>
    </row>
    <row r="174" spans="1:8">
      <c r="A174" t="s">
        <v>100</v>
      </c>
      <c r="B174" s="1">
        <v>45924.343009259261</v>
      </c>
      <c r="C174" s="3">
        <v>5</v>
      </c>
      <c r="D174" s="3">
        <v>55.540000000000006</v>
      </c>
      <c r="E174" t="str">
        <f t="shared" si="8"/>
        <v>CUST0179</v>
      </c>
      <c r="F174" s="4">
        <f t="shared" ca="1" si="9"/>
        <v>53.656990740739275</v>
      </c>
      <c r="G174">
        <f t="shared" si="10"/>
        <v>5</v>
      </c>
      <c r="H174">
        <f t="shared" si="11"/>
        <v>55.540000000000006</v>
      </c>
    </row>
    <row r="175" spans="1:8">
      <c r="A175" t="s">
        <v>275</v>
      </c>
      <c r="B175" s="1">
        <v>45631.343009259261</v>
      </c>
      <c r="C175" s="3">
        <v>1</v>
      </c>
      <c r="D175" s="3">
        <v>12.12</v>
      </c>
      <c r="E175" t="str">
        <f t="shared" si="8"/>
        <v>CUST0180</v>
      </c>
      <c r="F175" s="4">
        <f t="shared" ca="1" si="9"/>
        <v>346.65699074073927</v>
      </c>
      <c r="G175">
        <f t="shared" si="10"/>
        <v>1</v>
      </c>
      <c r="H175">
        <f t="shared" si="11"/>
        <v>12.12</v>
      </c>
    </row>
    <row r="176" spans="1:8">
      <c r="A176" t="s">
        <v>502</v>
      </c>
      <c r="B176" s="1">
        <v>45778.343009259261</v>
      </c>
      <c r="C176" s="3">
        <v>4</v>
      </c>
      <c r="D176" s="3">
        <v>34.24</v>
      </c>
      <c r="E176" t="str">
        <f t="shared" si="8"/>
        <v>CUST0181</v>
      </c>
      <c r="F176" s="4">
        <f t="shared" ca="1" si="9"/>
        <v>199.65699074073927</v>
      </c>
      <c r="G176">
        <f t="shared" si="10"/>
        <v>4</v>
      </c>
      <c r="H176">
        <f t="shared" si="11"/>
        <v>34.24</v>
      </c>
    </row>
    <row r="177" spans="1:8">
      <c r="A177" t="s">
        <v>238</v>
      </c>
      <c r="B177" s="1">
        <v>45852.343009259261</v>
      </c>
      <c r="C177" s="3">
        <v>3</v>
      </c>
      <c r="D177" s="3">
        <v>33.46</v>
      </c>
      <c r="E177" t="str">
        <f t="shared" si="8"/>
        <v>CUST0182</v>
      </c>
      <c r="F177" s="4">
        <f t="shared" ca="1" si="9"/>
        <v>125.65699074073927</v>
      </c>
      <c r="G177">
        <f t="shared" si="10"/>
        <v>3</v>
      </c>
      <c r="H177">
        <f t="shared" si="11"/>
        <v>33.46</v>
      </c>
    </row>
    <row r="178" spans="1:8">
      <c r="A178" t="s">
        <v>618</v>
      </c>
      <c r="B178" s="1">
        <v>45881.343009259261</v>
      </c>
      <c r="C178" s="3">
        <v>2</v>
      </c>
      <c r="D178" s="3">
        <v>76.81</v>
      </c>
      <c r="E178" t="str">
        <f t="shared" si="8"/>
        <v>CUST0183</v>
      </c>
      <c r="F178" s="4">
        <f t="shared" ca="1" si="9"/>
        <v>96.656990740739275</v>
      </c>
      <c r="G178">
        <f t="shared" si="10"/>
        <v>2</v>
      </c>
      <c r="H178">
        <f t="shared" si="11"/>
        <v>76.81</v>
      </c>
    </row>
    <row r="179" spans="1:8">
      <c r="A179" t="s">
        <v>163</v>
      </c>
      <c r="B179" s="1">
        <v>45808.343009259261</v>
      </c>
      <c r="C179" s="3">
        <v>2</v>
      </c>
      <c r="D179" s="3">
        <v>9.69</v>
      </c>
      <c r="E179" t="str">
        <f t="shared" si="8"/>
        <v>CUST0184</v>
      </c>
      <c r="F179" s="4">
        <f t="shared" ca="1" si="9"/>
        <v>169.65699074073927</v>
      </c>
      <c r="G179">
        <f t="shared" si="10"/>
        <v>2</v>
      </c>
      <c r="H179">
        <f t="shared" si="11"/>
        <v>9.69</v>
      </c>
    </row>
    <row r="180" spans="1:8">
      <c r="A180" t="s">
        <v>645</v>
      </c>
      <c r="B180" s="1">
        <v>45947.343009259261</v>
      </c>
      <c r="C180" s="3">
        <v>2</v>
      </c>
      <c r="D180" s="3">
        <v>32.299999999999997</v>
      </c>
      <c r="E180" t="str">
        <f t="shared" si="8"/>
        <v>CUST0185</v>
      </c>
      <c r="F180" s="4">
        <f t="shared" ca="1" si="9"/>
        <v>30.656990740739275</v>
      </c>
      <c r="G180">
        <f t="shared" si="10"/>
        <v>2</v>
      </c>
      <c r="H180">
        <f t="shared" si="11"/>
        <v>32.299999999999997</v>
      </c>
    </row>
    <row r="181" spans="1:8">
      <c r="A181" t="s">
        <v>752</v>
      </c>
      <c r="B181" s="1">
        <v>45760.343009259261</v>
      </c>
      <c r="C181" s="3">
        <v>2</v>
      </c>
      <c r="D181" s="3">
        <v>17.36</v>
      </c>
      <c r="E181" t="str">
        <f t="shared" si="8"/>
        <v>CUST0186</v>
      </c>
      <c r="F181" s="4">
        <f t="shared" ca="1" si="9"/>
        <v>217.65699074073927</v>
      </c>
      <c r="G181">
        <f t="shared" si="10"/>
        <v>2</v>
      </c>
      <c r="H181">
        <f t="shared" si="11"/>
        <v>17.36</v>
      </c>
    </row>
    <row r="182" spans="1:8">
      <c r="A182" t="s">
        <v>514</v>
      </c>
      <c r="B182" s="1">
        <v>45833.343009259261</v>
      </c>
      <c r="C182" s="3">
        <v>2</v>
      </c>
      <c r="D182" s="3">
        <v>33.97</v>
      </c>
      <c r="E182" t="str">
        <f t="shared" si="8"/>
        <v>CUST0187</v>
      </c>
      <c r="F182" s="4">
        <f t="shared" ca="1" si="9"/>
        <v>144.65699074073927</v>
      </c>
      <c r="G182">
        <f t="shared" si="10"/>
        <v>2</v>
      </c>
      <c r="H182">
        <f t="shared" si="11"/>
        <v>33.97</v>
      </c>
    </row>
    <row r="183" spans="1:8">
      <c r="A183" t="s">
        <v>396</v>
      </c>
      <c r="B183" s="1">
        <v>45920.343009259261</v>
      </c>
      <c r="C183" s="3">
        <v>5</v>
      </c>
      <c r="D183" s="3">
        <v>60.47</v>
      </c>
      <c r="E183" t="str">
        <f t="shared" si="8"/>
        <v>CUST0188</v>
      </c>
      <c r="F183" s="4">
        <f t="shared" ca="1" si="9"/>
        <v>57.656990740739275</v>
      </c>
      <c r="G183">
        <f t="shared" si="10"/>
        <v>5</v>
      </c>
      <c r="H183">
        <f t="shared" si="11"/>
        <v>60.47</v>
      </c>
    </row>
    <row r="184" spans="1:8">
      <c r="A184" t="s">
        <v>296</v>
      </c>
      <c r="B184" s="1">
        <v>45703.343009259261</v>
      </c>
      <c r="C184" s="3">
        <v>1</v>
      </c>
      <c r="D184" s="3">
        <v>17.079999999999998</v>
      </c>
      <c r="E184" t="str">
        <f t="shared" si="8"/>
        <v>CUST0189</v>
      </c>
      <c r="F184" s="4">
        <f t="shared" ca="1" si="9"/>
        <v>274.65699074073927</v>
      </c>
      <c r="G184">
        <f t="shared" si="10"/>
        <v>1</v>
      </c>
      <c r="H184">
        <f t="shared" si="11"/>
        <v>17.079999999999998</v>
      </c>
    </row>
    <row r="185" spans="1:8">
      <c r="A185" t="s">
        <v>491</v>
      </c>
      <c r="B185" s="1">
        <v>45789.343009259261</v>
      </c>
      <c r="C185" s="3">
        <v>1</v>
      </c>
      <c r="D185" s="3">
        <v>33.44</v>
      </c>
      <c r="E185" t="str">
        <f t="shared" si="8"/>
        <v>CUST0190</v>
      </c>
      <c r="F185" s="4">
        <f t="shared" ca="1" si="9"/>
        <v>188.65699074073927</v>
      </c>
      <c r="G185">
        <f t="shared" si="10"/>
        <v>1</v>
      </c>
      <c r="H185">
        <f t="shared" si="11"/>
        <v>33.44</v>
      </c>
    </row>
    <row r="186" spans="1:8">
      <c r="A186" t="s">
        <v>774</v>
      </c>
      <c r="B186" s="1">
        <v>45897.343009259261</v>
      </c>
      <c r="C186" s="3">
        <v>1</v>
      </c>
      <c r="D186" s="3">
        <v>16.14</v>
      </c>
      <c r="E186" t="str">
        <f t="shared" si="8"/>
        <v>CUST0191</v>
      </c>
      <c r="F186" s="4">
        <f t="shared" ca="1" si="9"/>
        <v>80.656990740739275</v>
      </c>
      <c r="G186">
        <f t="shared" si="10"/>
        <v>1</v>
      </c>
      <c r="H186">
        <f t="shared" si="11"/>
        <v>16.14</v>
      </c>
    </row>
    <row r="187" spans="1:8">
      <c r="A187" t="s">
        <v>823</v>
      </c>
      <c r="B187" s="1">
        <v>45914.343009259261</v>
      </c>
      <c r="C187" s="3">
        <v>3</v>
      </c>
      <c r="D187" s="3">
        <v>33.65</v>
      </c>
      <c r="E187" t="str">
        <f t="shared" si="8"/>
        <v>CUST0192</v>
      </c>
      <c r="F187" s="4">
        <f t="shared" ca="1" si="9"/>
        <v>63.656990740739275</v>
      </c>
      <c r="G187">
        <f t="shared" si="10"/>
        <v>3</v>
      </c>
      <c r="H187">
        <f t="shared" si="11"/>
        <v>33.65</v>
      </c>
    </row>
    <row r="188" spans="1:8">
      <c r="A188" t="s">
        <v>500</v>
      </c>
      <c r="B188" s="1">
        <v>45828.343009259261</v>
      </c>
      <c r="C188" s="3">
        <v>4</v>
      </c>
      <c r="D188" s="3">
        <v>58.100000000000009</v>
      </c>
      <c r="E188" t="str">
        <f t="shared" si="8"/>
        <v>CUST0193</v>
      </c>
      <c r="F188" s="4">
        <f t="shared" ca="1" si="9"/>
        <v>149.65699074073927</v>
      </c>
      <c r="G188">
        <f t="shared" si="10"/>
        <v>4</v>
      </c>
      <c r="H188">
        <f t="shared" si="11"/>
        <v>58.100000000000009</v>
      </c>
    </row>
    <row r="189" spans="1:8">
      <c r="A189" t="s">
        <v>323</v>
      </c>
      <c r="B189" s="1">
        <v>45738.343009259261</v>
      </c>
      <c r="C189" s="3">
        <v>2</v>
      </c>
      <c r="D189" s="3">
        <v>19.810000000000002</v>
      </c>
      <c r="E189" t="str">
        <f t="shared" si="8"/>
        <v>CUST0194</v>
      </c>
      <c r="F189" s="4">
        <f t="shared" ca="1" si="9"/>
        <v>239.65699074073927</v>
      </c>
      <c r="G189">
        <f t="shared" si="10"/>
        <v>2</v>
      </c>
      <c r="H189">
        <f t="shared" si="11"/>
        <v>19.810000000000002</v>
      </c>
    </row>
    <row r="190" spans="1:8">
      <c r="A190" t="s">
        <v>407</v>
      </c>
      <c r="B190" s="1">
        <v>45952.343009259261</v>
      </c>
      <c r="C190" s="3">
        <v>4</v>
      </c>
      <c r="D190" s="3">
        <v>52.35</v>
      </c>
      <c r="E190" t="str">
        <f t="shared" si="8"/>
        <v>CUST0195</v>
      </c>
      <c r="F190" s="4">
        <f t="shared" ca="1" si="9"/>
        <v>25.656990740739275</v>
      </c>
      <c r="G190">
        <f t="shared" si="10"/>
        <v>4</v>
      </c>
      <c r="H190">
        <f t="shared" si="11"/>
        <v>52.35</v>
      </c>
    </row>
    <row r="191" spans="1:8">
      <c r="A191" t="s">
        <v>145</v>
      </c>
      <c r="B191" s="1">
        <v>45812.343009259261</v>
      </c>
      <c r="C191" s="3">
        <v>2</v>
      </c>
      <c r="D191" s="3">
        <v>23.36</v>
      </c>
      <c r="E191" t="str">
        <f t="shared" si="8"/>
        <v>CUST0196</v>
      </c>
      <c r="F191" s="4">
        <f t="shared" ca="1" si="9"/>
        <v>165.65699074073927</v>
      </c>
      <c r="G191">
        <f t="shared" si="10"/>
        <v>2</v>
      </c>
      <c r="H191">
        <f t="shared" si="11"/>
        <v>23.36</v>
      </c>
    </row>
    <row r="192" spans="1:8">
      <c r="A192" t="s">
        <v>402</v>
      </c>
      <c r="B192" s="1">
        <v>45835.343009259261</v>
      </c>
      <c r="C192" s="3">
        <v>1</v>
      </c>
      <c r="D192" s="3">
        <v>4.26</v>
      </c>
      <c r="E192" t="str">
        <f t="shared" si="8"/>
        <v>CUST0197</v>
      </c>
      <c r="F192" s="4">
        <f t="shared" ca="1" si="9"/>
        <v>142.65699074073927</v>
      </c>
      <c r="G192">
        <f t="shared" si="10"/>
        <v>1</v>
      </c>
      <c r="H192">
        <f t="shared" si="11"/>
        <v>4.26</v>
      </c>
    </row>
    <row r="193" spans="1:8">
      <c r="A193" t="s">
        <v>120</v>
      </c>
      <c r="B193" s="1">
        <v>45918.343009259261</v>
      </c>
      <c r="C193" s="3">
        <v>5</v>
      </c>
      <c r="D193" s="3">
        <v>61.879999999999995</v>
      </c>
      <c r="E193" t="str">
        <f t="shared" si="8"/>
        <v>CUST0198</v>
      </c>
      <c r="F193" s="4">
        <f t="shared" ca="1" si="9"/>
        <v>59.656990740739275</v>
      </c>
      <c r="G193">
        <f t="shared" si="10"/>
        <v>5</v>
      </c>
      <c r="H193">
        <f t="shared" si="11"/>
        <v>61.879999999999995</v>
      </c>
    </row>
    <row r="194" spans="1:8">
      <c r="A194" t="s">
        <v>592</v>
      </c>
      <c r="B194" s="1">
        <v>45907.343009259261</v>
      </c>
      <c r="C194" s="3">
        <v>4</v>
      </c>
      <c r="D194" s="3">
        <v>41.640000000000008</v>
      </c>
      <c r="E194" t="str">
        <f t="shared" si="8"/>
        <v>CUST0199</v>
      </c>
      <c r="F194" s="4">
        <f t="shared" ca="1" si="9"/>
        <v>70.656990740739275</v>
      </c>
      <c r="G194">
        <f t="shared" si="10"/>
        <v>4</v>
      </c>
      <c r="H194">
        <f t="shared" si="11"/>
        <v>41.640000000000008</v>
      </c>
    </row>
    <row r="195" spans="1:8">
      <c r="A195" t="s">
        <v>197</v>
      </c>
      <c r="B195" s="1">
        <v>45955.343009259261</v>
      </c>
      <c r="C195" s="3">
        <v>2</v>
      </c>
      <c r="D195" s="3">
        <v>45.68</v>
      </c>
      <c r="E195" t="str">
        <f t="shared" si="8"/>
        <v>CUST0200</v>
      </c>
      <c r="F195" s="4">
        <f t="shared" ca="1" si="9"/>
        <v>22.656990740739275</v>
      </c>
      <c r="G195">
        <f t="shared" si="10"/>
        <v>2</v>
      </c>
      <c r="H195">
        <f t="shared" si="11"/>
        <v>45.68</v>
      </c>
    </row>
    <row r="196" spans="1:8">
      <c r="A196" t="s">
        <v>446</v>
      </c>
      <c r="B196" s="1">
        <v>45941.343009259261</v>
      </c>
      <c r="C196" s="3">
        <v>3</v>
      </c>
      <c r="D196" s="3">
        <v>26.67</v>
      </c>
      <c r="E196" t="str">
        <f t="shared" si="8"/>
        <v>CUST0201</v>
      </c>
      <c r="F196" s="4">
        <f t="shared" ca="1" si="9"/>
        <v>36.656990740739275</v>
      </c>
      <c r="G196">
        <f t="shared" si="10"/>
        <v>3</v>
      </c>
      <c r="H196">
        <f t="shared" si="11"/>
        <v>26.67</v>
      </c>
    </row>
    <row r="197" spans="1:8">
      <c r="A197" t="s">
        <v>246</v>
      </c>
      <c r="B197" s="1">
        <v>45947.343009259261</v>
      </c>
      <c r="C197" s="3">
        <v>5</v>
      </c>
      <c r="D197" s="3">
        <v>85.24</v>
      </c>
      <c r="E197" t="str">
        <f t="shared" ref="E197:E260" si="12">A197</f>
        <v>CUST0202</v>
      </c>
      <c r="F197" s="4">
        <f t="shared" ref="F197:F260" ca="1" si="13">TODAY()-B197</f>
        <v>30.656990740739275</v>
      </c>
      <c r="G197">
        <f t="shared" ref="G197:G260" si="14">C197</f>
        <v>5</v>
      </c>
      <c r="H197">
        <f t="shared" ref="H197:H260" si="15">D197</f>
        <v>85.24</v>
      </c>
    </row>
    <row r="198" spans="1:8">
      <c r="A198" t="s">
        <v>1218</v>
      </c>
      <c r="B198" s="1">
        <v>45704.343009259261</v>
      </c>
      <c r="C198" s="3">
        <v>1</v>
      </c>
      <c r="D198" s="3">
        <v>8.8000000000000007</v>
      </c>
      <c r="E198" t="str">
        <f t="shared" si="12"/>
        <v>CUST0203</v>
      </c>
      <c r="F198" s="4">
        <f t="shared" ca="1" si="13"/>
        <v>273.65699074073927</v>
      </c>
      <c r="G198">
        <f t="shared" si="14"/>
        <v>1</v>
      </c>
      <c r="H198">
        <f t="shared" si="15"/>
        <v>8.8000000000000007</v>
      </c>
    </row>
    <row r="199" spans="1:8">
      <c r="A199" t="s">
        <v>836</v>
      </c>
      <c r="B199" s="1">
        <v>45943.343009259261</v>
      </c>
      <c r="C199" s="3">
        <v>3</v>
      </c>
      <c r="D199" s="3">
        <v>20.82</v>
      </c>
      <c r="E199" t="str">
        <f t="shared" si="12"/>
        <v>CUST0204</v>
      </c>
      <c r="F199" s="4">
        <f t="shared" ca="1" si="13"/>
        <v>34.656990740739275</v>
      </c>
      <c r="G199">
        <f t="shared" si="14"/>
        <v>3</v>
      </c>
      <c r="H199">
        <f t="shared" si="15"/>
        <v>20.82</v>
      </c>
    </row>
    <row r="200" spans="1:8">
      <c r="A200" t="s">
        <v>918</v>
      </c>
      <c r="B200" s="1">
        <v>45837.343009259261</v>
      </c>
      <c r="C200" s="3">
        <v>1</v>
      </c>
      <c r="D200" s="3">
        <v>5.19</v>
      </c>
      <c r="E200" t="str">
        <f t="shared" si="12"/>
        <v>CUST0205</v>
      </c>
      <c r="F200" s="4">
        <f t="shared" ca="1" si="13"/>
        <v>140.65699074073927</v>
      </c>
      <c r="G200">
        <f t="shared" si="14"/>
        <v>1</v>
      </c>
      <c r="H200">
        <f t="shared" si="15"/>
        <v>5.19</v>
      </c>
    </row>
    <row r="201" spans="1:8">
      <c r="A201" t="s">
        <v>793</v>
      </c>
      <c r="B201" s="1">
        <v>45777.343009259261</v>
      </c>
      <c r="C201" s="3">
        <v>3</v>
      </c>
      <c r="D201" s="3">
        <v>63.080000000000005</v>
      </c>
      <c r="E201" t="str">
        <f t="shared" si="12"/>
        <v>CUST0206</v>
      </c>
      <c r="F201" s="4">
        <f t="shared" ca="1" si="13"/>
        <v>200.65699074073927</v>
      </c>
      <c r="G201">
        <f t="shared" si="14"/>
        <v>3</v>
      </c>
      <c r="H201">
        <f t="shared" si="15"/>
        <v>63.080000000000005</v>
      </c>
    </row>
    <row r="202" spans="1:8">
      <c r="A202" t="s">
        <v>1012</v>
      </c>
      <c r="B202" s="1">
        <v>45936.343009259261</v>
      </c>
      <c r="C202" s="3">
        <v>2</v>
      </c>
      <c r="D202" s="3">
        <v>22.57</v>
      </c>
      <c r="E202" t="str">
        <f t="shared" si="12"/>
        <v>CUST0207</v>
      </c>
      <c r="F202" s="4">
        <f t="shared" ca="1" si="13"/>
        <v>41.656990740739275</v>
      </c>
      <c r="G202">
        <f t="shared" si="14"/>
        <v>2</v>
      </c>
      <c r="H202">
        <f t="shared" si="15"/>
        <v>22.57</v>
      </c>
    </row>
    <row r="203" spans="1:8">
      <c r="A203" t="s">
        <v>885</v>
      </c>
      <c r="B203" s="1">
        <v>45815.343009259261</v>
      </c>
      <c r="C203" s="3">
        <v>3</v>
      </c>
      <c r="D203" s="3">
        <v>61.43</v>
      </c>
      <c r="E203" t="str">
        <f t="shared" si="12"/>
        <v>CUST0208</v>
      </c>
      <c r="F203" s="4">
        <f t="shared" ca="1" si="13"/>
        <v>162.65699074073927</v>
      </c>
      <c r="G203">
        <f t="shared" si="14"/>
        <v>3</v>
      </c>
      <c r="H203">
        <f t="shared" si="15"/>
        <v>61.43</v>
      </c>
    </row>
    <row r="204" spans="1:8">
      <c r="A204" t="s">
        <v>434</v>
      </c>
      <c r="B204" s="1">
        <v>45815.343009259261</v>
      </c>
      <c r="C204" s="3">
        <v>3</v>
      </c>
      <c r="D204" s="3">
        <v>41</v>
      </c>
      <c r="E204" t="str">
        <f t="shared" si="12"/>
        <v>CUST0209</v>
      </c>
      <c r="F204" s="4">
        <f t="shared" ca="1" si="13"/>
        <v>162.65699074073927</v>
      </c>
      <c r="G204">
        <f t="shared" si="14"/>
        <v>3</v>
      </c>
      <c r="H204">
        <f t="shared" si="15"/>
        <v>41</v>
      </c>
    </row>
    <row r="205" spans="1:8">
      <c r="A205" t="s">
        <v>205</v>
      </c>
      <c r="B205" s="1">
        <v>45782.343009259261</v>
      </c>
      <c r="C205" s="3">
        <v>4</v>
      </c>
      <c r="D205" s="3">
        <v>47.959999999999994</v>
      </c>
      <c r="E205" t="str">
        <f t="shared" si="12"/>
        <v>CUST0210</v>
      </c>
      <c r="F205" s="4">
        <f t="shared" ca="1" si="13"/>
        <v>195.65699074073927</v>
      </c>
      <c r="G205">
        <f t="shared" si="14"/>
        <v>4</v>
      </c>
      <c r="H205">
        <f t="shared" si="15"/>
        <v>47.959999999999994</v>
      </c>
    </row>
    <row r="206" spans="1:8">
      <c r="A206" t="s">
        <v>305</v>
      </c>
      <c r="B206" s="1">
        <v>45943.343009259261</v>
      </c>
      <c r="C206" s="3">
        <v>2</v>
      </c>
      <c r="D206" s="3">
        <v>21.21</v>
      </c>
      <c r="E206" t="str">
        <f t="shared" si="12"/>
        <v>CUST0211</v>
      </c>
      <c r="F206" s="4">
        <f t="shared" ca="1" si="13"/>
        <v>34.656990740739275</v>
      </c>
      <c r="G206">
        <f t="shared" si="14"/>
        <v>2</v>
      </c>
      <c r="H206">
        <f t="shared" si="15"/>
        <v>21.21</v>
      </c>
    </row>
    <row r="207" spans="1:8">
      <c r="A207" t="s">
        <v>72</v>
      </c>
      <c r="B207" s="1">
        <v>45960.343009259261</v>
      </c>
      <c r="C207" s="3">
        <v>3</v>
      </c>
      <c r="D207" s="3">
        <v>40.739999999999995</v>
      </c>
      <c r="E207" t="str">
        <f t="shared" si="12"/>
        <v>CUST0213</v>
      </c>
      <c r="F207" s="4">
        <f t="shared" ca="1" si="13"/>
        <v>17.656990740739275</v>
      </c>
      <c r="G207">
        <f t="shared" si="14"/>
        <v>3</v>
      </c>
      <c r="H207">
        <f t="shared" si="15"/>
        <v>40.739999999999995</v>
      </c>
    </row>
    <row r="208" spans="1:8">
      <c r="A208" t="s">
        <v>230</v>
      </c>
      <c r="B208" s="1">
        <v>45824.343009259261</v>
      </c>
      <c r="C208" s="3">
        <v>4</v>
      </c>
      <c r="D208" s="3">
        <v>29.38</v>
      </c>
      <c r="E208" t="str">
        <f t="shared" si="12"/>
        <v>CUST0214</v>
      </c>
      <c r="F208" s="4">
        <f t="shared" ca="1" si="13"/>
        <v>153.65699074073927</v>
      </c>
      <c r="G208">
        <f t="shared" si="14"/>
        <v>4</v>
      </c>
      <c r="H208">
        <f t="shared" si="15"/>
        <v>29.38</v>
      </c>
    </row>
    <row r="209" spans="1:8">
      <c r="A209" t="s">
        <v>303</v>
      </c>
      <c r="B209" s="1">
        <v>45787.343009259261</v>
      </c>
      <c r="C209" s="3">
        <v>6</v>
      </c>
      <c r="D209" s="3">
        <v>123.08</v>
      </c>
      <c r="E209" t="str">
        <f t="shared" si="12"/>
        <v>CUST0215</v>
      </c>
      <c r="F209" s="4">
        <f t="shared" ca="1" si="13"/>
        <v>190.65699074073927</v>
      </c>
      <c r="G209">
        <f t="shared" si="14"/>
        <v>6</v>
      </c>
      <c r="H209">
        <f t="shared" si="15"/>
        <v>123.08</v>
      </c>
    </row>
    <row r="210" spans="1:8">
      <c r="A210" t="s">
        <v>161</v>
      </c>
      <c r="B210" s="1">
        <v>45891.343009259261</v>
      </c>
      <c r="C210" s="3">
        <v>5</v>
      </c>
      <c r="D210" s="3">
        <v>158.79999999999998</v>
      </c>
      <c r="E210" t="str">
        <f t="shared" si="12"/>
        <v>CUST0216</v>
      </c>
      <c r="F210" s="4">
        <f t="shared" ca="1" si="13"/>
        <v>86.656990740739275</v>
      </c>
      <c r="G210">
        <f t="shared" si="14"/>
        <v>5</v>
      </c>
      <c r="H210">
        <f t="shared" si="15"/>
        <v>158.79999999999998</v>
      </c>
    </row>
    <row r="211" spans="1:8">
      <c r="A211" t="s">
        <v>544</v>
      </c>
      <c r="B211" s="1">
        <v>45876.343009259261</v>
      </c>
      <c r="C211" s="3">
        <v>3</v>
      </c>
      <c r="D211" s="3">
        <v>33.950000000000003</v>
      </c>
      <c r="E211" t="str">
        <f t="shared" si="12"/>
        <v>CUST0217</v>
      </c>
      <c r="F211" s="4">
        <f t="shared" ca="1" si="13"/>
        <v>101.65699074073927</v>
      </c>
      <c r="G211">
        <f t="shared" si="14"/>
        <v>3</v>
      </c>
      <c r="H211">
        <f t="shared" si="15"/>
        <v>33.950000000000003</v>
      </c>
    </row>
    <row r="212" spans="1:8">
      <c r="A212" t="s">
        <v>200</v>
      </c>
      <c r="B212" s="1">
        <v>45941.343009259261</v>
      </c>
      <c r="C212" s="3">
        <v>3</v>
      </c>
      <c r="D212" s="3">
        <v>59.46</v>
      </c>
      <c r="E212" t="str">
        <f t="shared" si="12"/>
        <v>CUST0218</v>
      </c>
      <c r="F212" s="4">
        <f t="shared" ca="1" si="13"/>
        <v>36.656990740739275</v>
      </c>
      <c r="G212">
        <f t="shared" si="14"/>
        <v>3</v>
      </c>
      <c r="H212">
        <f t="shared" si="15"/>
        <v>59.46</v>
      </c>
    </row>
    <row r="213" spans="1:8">
      <c r="A213" t="s">
        <v>483</v>
      </c>
      <c r="B213" s="1">
        <v>45956.343009259261</v>
      </c>
      <c r="C213" s="3">
        <v>2</v>
      </c>
      <c r="D213" s="3">
        <v>47.76</v>
      </c>
      <c r="E213" t="str">
        <f t="shared" si="12"/>
        <v>CUST0219</v>
      </c>
      <c r="F213" s="4">
        <f t="shared" ca="1" si="13"/>
        <v>21.656990740739275</v>
      </c>
      <c r="G213">
        <f t="shared" si="14"/>
        <v>2</v>
      </c>
      <c r="H213">
        <f t="shared" si="15"/>
        <v>47.76</v>
      </c>
    </row>
    <row r="214" spans="1:8">
      <c r="A214" t="s">
        <v>1019</v>
      </c>
      <c r="B214" s="1">
        <v>45878.343009259261</v>
      </c>
      <c r="C214" s="3">
        <v>3</v>
      </c>
      <c r="D214" s="3">
        <v>73.260000000000005</v>
      </c>
      <c r="E214" t="str">
        <f t="shared" si="12"/>
        <v>CUST0220</v>
      </c>
      <c r="F214" s="4">
        <f t="shared" ca="1" si="13"/>
        <v>99.656990740739275</v>
      </c>
      <c r="G214">
        <f t="shared" si="14"/>
        <v>3</v>
      </c>
      <c r="H214">
        <f t="shared" si="15"/>
        <v>73.260000000000005</v>
      </c>
    </row>
    <row r="215" spans="1:8">
      <c r="A215" t="s">
        <v>995</v>
      </c>
      <c r="B215" s="1">
        <v>45623.343009259261</v>
      </c>
      <c r="C215" s="3">
        <v>2</v>
      </c>
      <c r="D215" s="3">
        <v>30.95</v>
      </c>
      <c r="E215" t="str">
        <f t="shared" si="12"/>
        <v>CUST0221</v>
      </c>
      <c r="F215" s="4">
        <f t="shared" ca="1" si="13"/>
        <v>354.65699074073927</v>
      </c>
      <c r="G215">
        <f t="shared" si="14"/>
        <v>2</v>
      </c>
      <c r="H215">
        <f t="shared" si="15"/>
        <v>30.95</v>
      </c>
    </row>
    <row r="216" spans="1:8">
      <c r="A216" t="s">
        <v>329</v>
      </c>
      <c r="B216" s="1">
        <v>45959.343009259261</v>
      </c>
      <c r="C216" s="3">
        <v>4</v>
      </c>
      <c r="D216" s="3">
        <v>30.69</v>
      </c>
      <c r="E216" t="str">
        <f t="shared" si="12"/>
        <v>CUST0222</v>
      </c>
      <c r="F216" s="4">
        <f t="shared" ca="1" si="13"/>
        <v>18.656990740739275</v>
      </c>
      <c r="G216">
        <f t="shared" si="14"/>
        <v>4</v>
      </c>
      <c r="H216">
        <f t="shared" si="15"/>
        <v>30.69</v>
      </c>
    </row>
    <row r="217" spans="1:8">
      <c r="A217" t="s">
        <v>378</v>
      </c>
      <c r="B217" s="1">
        <v>45908.343009259261</v>
      </c>
      <c r="C217" s="3">
        <v>5</v>
      </c>
      <c r="D217" s="3">
        <v>61.239999999999995</v>
      </c>
      <c r="E217" t="str">
        <f t="shared" si="12"/>
        <v>CUST0223</v>
      </c>
      <c r="F217" s="4">
        <f t="shared" ca="1" si="13"/>
        <v>69.656990740739275</v>
      </c>
      <c r="G217">
        <f t="shared" si="14"/>
        <v>5</v>
      </c>
      <c r="H217">
        <f t="shared" si="15"/>
        <v>61.239999999999995</v>
      </c>
    </row>
    <row r="218" spans="1:8">
      <c r="A218" t="s">
        <v>300</v>
      </c>
      <c r="B218" s="1">
        <v>45955.343009259261</v>
      </c>
      <c r="C218" s="3">
        <v>6</v>
      </c>
      <c r="D218" s="3">
        <v>116.16</v>
      </c>
      <c r="E218" t="str">
        <f t="shared" si="12"/>
        <v>CUST0224</v>
      </c>
      <c r="F218" s="4">
        <f t="shared" ca="1" si="13"/>
        <v>22.656990740739275</v>
      </c>
      <c r="G218">
        <f t="shared" si="14"/>
        <v>6</v>
      </c>
      <c r="H218">
        <f t="shared" si="15"/>
        <v>116.16</v>
      </c>
    </row>
    <row r="219" spans="1:8">
      <c r="A219" t="s">
        <v>114</v>
      </c>
      <c r="B219" s="1">
        <v>45860.343009259261</v>
      </c>
      <c r="C219" s="3">
        <v>3</v>
      </c>
      <c r="D219" s="3">
        <v>24.72</v>
      </c>
      <c r="E219" t="str">
        <f t="shared" si="12"/>
        <v>CUST0225</v>
      </c>
      <c r="F219" s="4">
        <f t="shared" ca="1" si="13"/>
        <v>117.65699074073927</v>
      </c>
      <c r="G219">
        <f t="shared" si="14"/>
        <v>3</v>
      </c>
      <c r="H219">
        <f t="shared" si="15"/>
        <v>24.72</v>
      </c>
    </row>
    <row r="220" spans="1:8">
      <c r="A220" t="s">
        <v>418</v>
      </c>
      <c r="B220" s="1">
        <v>45941.343009259261</v>
      </c>
      <c r="C220" s="3">
        <v>7</v>
      </c>
      <c r="D220" s="3">
        <v>108.13000000000001</v>
      </c>
      <c r="E220" t="str">
        <f t="shared" si="12"/>
        <v>CUST0226</v>
      </c>
      <c r="F220" s="4">
        <f t="shared" ca="1" si="13"/>
        <v>36.656990740739275</v>
      </c>
      <c r="G220">
        <f t="shared" si="14"/>
        <v>7</v>
      </c>
      <c r="H220">
        <f t="shared" si="15"/>
        <v>108.13000000000001</v>
      </c>
    </row>
    <row r="221" spans="1:8">
      <c r="A221" t="s">
        <v>519</v>
      </c>
      <c r="B221" s="1">
        <v>45899.343009259261</v>
      </c>
      <c r="C221" s="3">
        <v>6</v>
      </c>
      <c r="D221" s="3">
        <v>126.89</v>
      </c>
      <c r="E221" t="str">
        <f t="shared" si="12"/>
        <v>CUST0227</v>
      </c>
      <c r="F221" s="4">
        <f t="shared" ca="1" si="13"/>
        <v>78.656990740739275</v>
      </c>
      <c r="G221">
        <f t="shared" si="14"/>
        <v>6</v>
      </c>
      <c r="H221">
        <f t="shared" si="15"/>
        <v>126.89</v>
      </c>
    </row>
    <row r="222" spans="1:8">
      <c r="A222" t="s">
        <v>159</v>
      </c>
      <c r="B222" s="1">
        <v>45895.343009259261</v>
      </c>
      <c r="C222" s="3">
        <v>4</v>
      </c>
      <c r="D222" s="3">
        <v>37.58</v>
      </c>
      <c r="E222" t="str">
        <f t="shared" si="12"/>
        <v>CUST0228</v>
      </c>
      <c r="F222" s="4">
        <f t="shared" ca="1" si="13"/>
        <v>82.656990740739275</v>
      </c>
      <c r="G222">
        <f t="shared" si="14"/>
        <v>4</v>
      </c>
      <c r="H222">
        <f t="shared" si="15"/>
        <v>37.58</v>
      </c>
    </row>
    <row r="223" spans="1:8">
      <c r="A223" t="s">
        <v>64</v>
      </c>
      <c r="B223" s="1">
        <v>45897.343009259261</v>
      </c>
      <c r="C223" s="3">
        <v>4</v>
      </c>
      <c r="D223" s="3">
        <v>70.73</v>
      </c>
      <c r="E223" t="str">
        <f t="shared" si="12"/>
        <v>CUST0229</v>
      </c>
      <c r="F223" s="4">
        <f t="shared" ca="1" si="13"/>
        <v>80.656990740739275</v>
      </c>
      <c r="G223">
        <f t="shared" si="14"/>
        <v>4</v>
      </c>
      <c r="H223">
        <f t="shared" si="15"/>
        <v>70.73</v>
      </c>
    </row>
    <row r="224" spans="1:8">
      <c r="A224" t="s">
        <v>136</v>
      </c>
      <c r="B224" s="1">
        <v>45901.343009259261</v>
      </c>
      <c r="C224" s="3">
        <v>3</v>
      </c>
      <c r="D224" s="3">
        <v>55.25</v>
      </c>
      <c r="E224" t="str">
        <f t="shared" si="12"/>
        <v>CUST0231</v>
      </c>
      <c r="F224" s="4">
        <f t="shared" ca="1" si="13"/>
        <v>76.656990740739275</v>
      </c>
      <c r="G224">
        <f t="shared" si="14"/>
        <v>3</v>
      </c>
      <c r="H224">
        <f t="shared" si="15"/>
        <v>55.25</v>
      </c>
    </row>
    <row r="225" spans="1:8">
      <c r="A225" t="s">
        <v>517</v>
      </c>
      <c r="B225" s="1">
        <v>45896.343009259261</v>
      </c>
      <c r="C225" s="3">
        <v>2</v>
      </c>
      <c r="D225" s="3">
        <v>9.9400000000000013</v>
      </c>
      <c r="E225" t="str">
        <f t="shared" si="12"/>
        <v>CUST0232</v>
      </c>
      <c r="F225" s="4">
        <f t="shared" ca="1" si="13"/>
        <v>81.656990740739275</v>
      </c>
      <c r="G225">
        <f t="shared" si="14"/>
        <v>2</v>
      </c>
      <c r="H225">
        <f t="shared" si="15"/>
        <v>9.9400000000000013</v>
      </c>
    </row>
    <row r="226" spans="1:8">
      <c r="A226" t="s">
        <v>804</v>
      </c>
      <c r="B226" s="1">
        <v>45819.343009259261</v>
      </c>
      <c r="C226" s="3">
        <v>3</v>
      </c>
      <c r="D226" s="3">
        <v>61.039999999999992</v>
      </c>
      <c r="E226" t="str">
        <f t="shared" si="12"/>
        <v>CUST0233</v>
      </c>
      <c r="F226" s="4">
        <f t="shared" ca="1" si="13"/>
        <v>158.65699074073927</v>
      </c>
      <c r="G226">
        <f t="shared" si="14"/>
        <v>3</v>
      </c>
      <c r="H226">
        <f t="shared" si="15"/>
        <v>61.039999999999992</v>
      </c>
    </row>
    <row r="227" spans="1:8">
      <c r="A227" t="s">
        <v>405</v>
      </c>
      <c r="B227" s="1">
        <v>45872.343009259261</v>
      </c>
      <c r="C227" s="3">
        <v>2</v>
      </c>
      <c r="D227" s="3">
        <v>22.16</v>
      </c>
      <c r="E227" t="str">
        <f t="shared" si="12"/>
        <v>CUST0234</v>
      </c>
      <c r="F227" s="4">
        <f t="shared" ca="1" si="13"/>
        <v>105.65699074073927</v>
      </c>
      <c r="G227">
        <f t="shared" si="14"/>
        <v>2</v>
      </c>
      <c r="H227">
        <f t="shared" si="15"/>
        <v>22.16</v>
      </c>
    </row>
    <row r="228" spans="1:8">
      <c r="A228" t="s">
        <v>452</v>
      </c>
      <c r="B228" s="1">
        <v>45932.343009259261</v>
      </c>
      <c r="C228" s="3">
        <v>2</v>
      </c>
      <c r="D228" s="3">
        <v>54.569999999999993</v>
      </c>
      <c r="E228" t="str">
        <f t="shared" si="12"/>
        <v>CUST0235</v>
      </c>
      <c r="F228" s="4">
        <f t="shared" ca="1" si="13"/>
        <v>45.656990740739275</v>
      </c>
      <c r="G228">
        <f t="shared" si="14"/>
        <v>2</v>
      </c>
      <c r="H228">
        <f t="shared" si="15"/>
        <v>54.569999999999993</v>
      </c>
    </row>
    <row r="229" spans="1:8">
      <c r="A229" t="s">
        <v>47</v>
      </c>
      <c r="B229" s="1">
        <v>45926.343009259261</v>
      </c>
      <c r="C229" s="3">
        <v>5</v>
      </c>
      <c r="D229" s="3">
        <v>70.13</v>
      </c>
      <c r="E229" t="str">
        <f t="shared" si="12"/>
        <v>CUST0236</v>
      </c>
      <c r="F229" s="4">
        <f t="shared" ca="1" si="13"/>
        <v>51.656990740739275</v>
      </c>
      <c r="G229">
        <f t="shared" si="14"/>
        <v>5</v>
      </c>
      <c r="H229">
        <f t="shared" si="15"/>
        <v>70.13</v>
      </c>
    </row>
    <row r="230" spans="1:8">
      <c r="A230" t="s">
        <v>86</v>
      </c>
      <c r="B230" s="1">
        <v>45959.343009259261</v>
      </c>
      <c r="C230" s="3">
        <v>5</v>
      </c>
      <c r="D230" s="3">
        <v>92.73</v>
      </c>
      <c r="E230" t="str">
        <f t="shared" si="12"/>
        <v>CUST0237</v>
      </c>
      <c r="F230" s="4">
        <f t="shared" ca="1" si="13"/>
        <v>18.656990740739275</v>
      </c>
      <c r="G230">
        <f t="shared" si="14"/>
        <v>5</v>
      </c>
      <c r="H230">
        <f t="shared" si="15"/>
        <v>92.73</v>
      </c>
    </row>
    <row r="231" spans="1:8">
      <c r="A231" t="s">
        <v>992</v>
      </c>
      <c r="B231" s="1">
        <v>45792.343009259261</v>
      </c>
      <c r="C231" s="3">
        <v>1</v>
      </c>
      <c r="D231" s="3">
        <v>34.880000000000003</v>
      </c>
      <c r="E231" t="str">
        <f t="shared" si="12"/>
        <v>CUST0238</v>
      </c>
      <c r="F231" s="4">
        <f t="shared" ca="1" si="13"/>
        <v>185.65699074073927</v>
      </c>
      <c r="G231">
        <f t="shared" si="14"/>
        <v>1</v>
      </c>
      <c r="H231">
        <f t="shared" si="15"/>
        <v>34.880000000000003</v>
      </c>
    </row>
    <row r="232" spans="1:8">
      <c r="A232" t="s">
        <v>359</v>
      </c>
      <c r="B232" s="1">
        <v>45879.343009259261</v>
      </c>
      <c r="C232" s="3">
        <v>4</v>
      </c>
      <c r="D232" s="3">
        <v>85.9</v>
      </c>
      <c r="E232" t="str">
        <f t="shared" si="12"/>
        <v>CUST0239</v>
      </c>
      <c r="F232" s="4">
        <f t="shared" ca="1" si="13"/>
        <v>98.656990740739275</v>
      </c>
      <c r="G232">
        <f t="shared" si="14"/>
        <v>4</v>
      </c>
      <c r="H232">
        <f t="shared" si="15"/>
        <v>85.9</v>
      </c>
    </row>
    <row r="233" spans="1:8">
      <c r="A233" t="s">
        <v>1049</v>
      </c>
      <c r="B233" s="1">
        <v>45943.343009259261</v>
      </c>
      <c r="C233" s="3">
        <v>1</v>
      </c>
      <c r="D233" s="3">
        <v>12.43</v>
      </c>
      <c r="E233" t="str">
        <f t="shared" si="12"/>
        <v>CUST0240</v>
      </c>
      <c r="F233" s="4">
        <f t="shared" ca="1" si="13"/>
        <v>34.656990740739275</v>
      </c>
      <c r="G233">
        <f t="shared" si="14"/>
        <v>1</v>
      </c>
      <c r="H233">
        <f t="shared" si="15"/>
        <v>12.43</v>
      </c>
    </row>
    <row r="234" spans="1:8">
      <c r="A234" t="s">
        <v>691</v>
      </c>
      <c r="B234" s="1">
        <v>45926.343009259261</v>
      </c>
      <c r="C234" s="3">
        <v>3</v>
      </c>
      <c r="D234" s="3">
        <v>51.7</v>
      </c>
      <c r="E234" t="str">
        <f t="shared" si="12"/>
        <v>CUST0241</v>
      </c>
      <c r="F234" s="4">
        <f t="shared" ca="1" si="13"/>
        <v>51.656990740739275</v>
      </c>
      <c r="G234">
        <f t="shared" si="14"/>
        <v>3</v>
      </c>
      <c r="H234">
        <f t="shared" si="15"/>
        <v>51.7</v>
      </c>
    </row>
    <row r="235" spans="1:8">
      <c r="A235" t="s">
        <v>820</v>
      </c>
      <c r="B235" s="1">
        <v>45950.343009259261</v>
      </c>
      <c r="C235" s="3">
        <v>4</v>
      </c>
      <c r="D235" s="3">
        <v>97.14</v>
      </c>
      <c r="E235" t="str">
        <f t="shared" si="12"/>
        <v>CUST0242</v>
      </c>
      <c r="F235" s="4">
        <f t="shared" ca="1" si="13"/>
        <v>27.656990740739275</v>
      </c>
      <c r="G235">
        <f t="shared" si="14"/>
        <v>4</v>
      </c>
      <c r="H235">
        <f t="shared" si="15"/>
        <v>97.14</v>
      </c>
    </row>
    <row r="236" spans="1:8">
      <c r="A236" t="s">
        <v>179</v>
      </c>
      <c r="B236" s="1">
        <v>45834.343009259261</v>
      </c>
      <c r="C236" s="3">
        <v>5</v>
      </c>
      <c r="D236" s="3">
        <v>101.22</v>
      </c>
      <c r="E236" t="str">
        <f t="shared" si="12"/>
        <v>CUST0243</v>
      </c>
      <c r="F236" s="4">
        <f t="shared" ca="1" si="13"/>
        <v>143.65699074073927</v>
      </c>
      <c r="G236">
        <f t="shared" si="14"/>
        <v>5</v>
      </c>
      <c r="H236">
        <f t="shared" si="15"/>
        <v>101.22</v>
      </c>
    </row>
    <row r="237" spans="1:8">
      <c r="A237" t="s">
        <v>254</v>
      </c>
      <c r="B237" s="1">
        <v>45774.343009259261</v>
      </c>
      <c r="C237" s="3">
        <v>2</v>
      </c>
      <c r="D237" s="3">
        <v>33.430000000000007</v>
      </c>
      <c r="E237" t="str">
        <f t="shared" si="12"/>
        <v>CUST0244</v>
      </c>
      <c r="F237" s="4">
        <f t="shared" ca="1" si="13"/>
        <v>203.65699074073927</v>
      </c>
      <c r="G237">
        <f t="shared" si="14"/>
        <v>2</v>
      </c>
      <c r="H237">
        <f t="shared" si="15"/>
        <v>33.430000000000007</v>
      </c>
    </row>
    <row r="238" spans="1:8">
      <c r="A238" t="s">
        <v>642</v>
      </c>
      <c r="B238" s="1">
        <v>45950.343009259261</v>
      </c>
      <c r="C238" s="3">
        <v>3</v>
      </c>
      <c r="D238" s="3">
        <v>70.489999999999995</v>
      </c>
      <c r="E238" t="str">
        <f t="shared" si="12"/>
        <v>CUST0245</v>
      </c>
      <c r="F238" s="4">
        <f t="shared" ca="1" si="13"/>
        <v>27.656990740739275</v>
      </c>
      <c r="G238">
        <f t="shared" si="14"/>
        <v>3</v>
      </c>
      <c r="H238">
        <f t="shared" si="15"/>
        <v>70.489999999999995</v>
      </c>
    </row>
    <row r="239" spans="1:8">
      <c r="A239" t="s">
        <v>448</v>
      </c>
      <c r="B239" s="1">
        <v>45797.343009259261</v>
      </c>
      <c r="C239" s="3">
        <v>3</v>
      </c>
      <c r="D239" s="3">
        <v>37.870000000000005</v>
      </c>
      <c r="E239" t="str">
        <f t="shared" si="12"/>
        <v>CUST0246</v>
      </c>
      <c r="F239" s="4">
        <f t="shared" ca="1" si="13"/>
        <v>180.65699074073927</v>
      </c>
      <c r="G239">
        <f t="shared" si="14"/>
        <v>3</v>
      </c>
      <c r="H239">
        <f t="shared" si="15"/>
        <v>37.870000000000005</v>
      </c>
    </row>
    <row r="240" spans="1:8">
      <c r="A240" t="s">
        <v>351</v>
      </c>
      <c r="B240" s="1">
        <v>45900.343009259261</v>
      </c>
      <c r="C240" s="3">
        <v>2</v>
      </c>
      <c r="D240" s="3">
        <v>11.96</v>
      </c>
      <c r="E240" t="str">
        <f t="shared" si="12"/>
        <v>CUST0247</v>
      </c>
      <c r="F240" s="4">
        <f t="shared" ca="1" si="13"/>
        <v>77.656990740739275</v>
      </c>
      <c r="G240">
        <f t="shared" si="14"/>
        <v>2</v>
      </c>
      <c r="H240">
        <f t="shared" si="15"/>
        <v>11.96</v>
      </c>
    </row>
    <row r="241" spans="1:8">
      <c r="A241" t="s">
        <v>357</v>
      </c>
      <c r="B241" s="1">
        <v>45859.343009259261</v>
      </c>
      <c r="C241" s="3">
        <v>2</v>
      </c>
      <c r="D241" s="3">
        <v>49.29</v>
      </c>
      <c r="E241" t="str">
        <f t="shared" si="12"/>
        <v>CUST0249</v>
      </c>
      <c r="F241" s="4">
        <f t="shared" ca="1" si="13"/>
        <v>118.65699074073927</v>
      </c>
      <c r="G241">
        <f t="shared" si="14"/>
        <v>2</v>
      </c>
      <c r="H241">
        <f t="shared" si="15"/>
        <v>49.29</v>
      </c>
    </row>
    <row r="242" spans="1:8">
      <c r="A242" t="s">
        <v>528</v>
      </c>
      <c r="B242" s="1">
        <v>45881.343009259261</v>
      </c>
      <c r="C242" s="3">
        <v>3</v>
      </c>
      <c r="D242" s="3">
        <v>47.45</v>
      </c>
      <c r="E242" t="str">
        <f t="shared" si="12"/>
        <v>CUST0250</v>
      </c>
      <c r="F242" s="4">
        <f t="shared" ca="1" si="13"/>
        <v>96.656990740739275</v>
      </c>
      <c r="G242">
        <f t="shared" si="14"/>
        <v>3</v>
      </c>
      <c r="H242">
        <f t="shared" si="15"/>
        <v>47.45</v>
      </c>
    </row>
    <row r="243" spans="1:8">
      <c r="A243" t="s">
        <v>268</v>
      </c>
      <c r="B243" s="1">
        <v>45937.343009259261</v>
      </c>
      <c r="C243" s="3">
        <v>7</v>
      </c>
      <c r="D243" s="3">
        <v>123.67</v>
      </c>
      <c r="E243" t="str">
        <f t="shared" si="12"/>
        <v>CUST0251</v>
      </c>
      <c r="F243" s="4">
        <f t="shared" ca="1" si="13"/>
        <v>40.656990740739275</v>
      </c>
      <c r="G243">
        <f t="shared" si="14"/>
        <v>7</v>
      </c>
      <c r="H243">
        <f t="shared" si="15"/>
        <v>123.67</v>
      </c>
    </row>
    <row r="244" spans="1:8">
      <c r="A244" t="s">
        <v>143</v>
      </c>
      <c r="B244" s="1">
        <v>45731.343009259261</v>
      </c>
      <c r="C244" s="3">
        <v>2</v>
      </c>
      <c r="D244" s="3">
        <v>21.060000000000002</v>
      </c>
      <c r="E244" t="str">
        <f t="shared" si="12"/>
        <v>CUST0254</v>
      </c>
      <c r="F244" s="4">
        <f t="shared" ca="1" si="13"/>
        <v>246.65699074073927</v>
      </c>
      <c r="G244">
        <f t="shared" si="14"/>
        <v>2</v>
      </c>
      <c r="H244">
        <f t="shared" si="15"/>
        <v>21.060000000000002</v>
      </c>
    </row>
    <row r="245" spans="1:8">
      <c r="A245" t="s">
        <v>353</v>
      </c>
      <c r="B245" s="1">
        <v>45708.343009259261</v>
      </c>
      <c r="C245" s="3">
        <v>1</v>
      </c>
      <c r="D245" s="3">
        <v>11.89</v>
      </c>
      <c r="E245" t="str">
        <f t="shared" si="12"/>
        <v>CUST0255</v>
      </c>
      <c r="F245" s="4">
        <f t="shared" ca="1" si="13"/>
        <v>269.65699074073927</v>
      </c>
      <c r="G245">
        <f t="shared" si="14"/>
        <v>1</v>
      </c>
      <c r="H245">
        <f t="shared" si="15"/>
        <v>11.89</v>
      </c>
    </row>
    <row r="246" spans="1:8">
      <c r="A246" t="s">
        <v>415</v>
      </c>
      <c r="B246" s="1">
        <v>45854.343009259261</v>
      </c>
      <c r="C246" s="3">
        <v>1</v>
      </c>
      <c r="D246" s="3">
        <v>4.12</v>
      </c>
      <c r="E246" t="str">
        <f t="shared" si="12"/>
        <v>CUST0256</v>
      </c>
      <c r="F246" s="4">
        <f t="shared" ca="1" si="13"/>
        <v>123.65699074073927</v>
      </c>
      <c r="G246">
        <f t="shared" si="14"/>
        <v>1</v>
      </c>
      <c r="H246">
        <f t="shared" si="15"/>
        <v>4.12</v>
      </c>
    </row>
    <row r="247" spans="1:8">
      <c r="A247" t="s">
        <v>233</v>
      </c>
      <c r="B247" s="1">
        <v>45935.343009259261</v>
      </c>
      <c r="C247" s="3">
        <v>5</v>
      </c>
      <c r="D247" s="3">
        <v>84.58</v>
      </c>
      <c r="E247" t="str">
        <f t="shared" si="12"/>
        <v>CUST0257</v>
      </c>
      <c r="F247" s="4">
        <f t="shared" ca="1" si="13"/>
        <v>42.656990740739275</v>
      </c>
      <c r="G247">
        <f t="shared" si="14"/>
        <v>5</v>
      </c>
      <c r="H247">
        <f t="shared" si="15"/>
        <v>84.58</v>
      </c>
    </row>
    <row r="248" spans="1:8">
      <c r="A248" t="s">
        <v>791</v>
      </c>
      <c r="B248" s="1">
        <v>45709.343009259261</v>
      </c>
      <c r="C248" s="3">
        <v>1</v>
      </c>
      <c r="D248" s="3">
        <v>12.22</v>
      </c>
      <c r="E248" t="str">
        <f t="shared" si="12"/>
        <v>CUST0258</v>
      </c>
      <c r="F248" s="4">
        <f t="shared" ca="1" si="13"/>
        <v>268.65699074073927</v>
      </c>
      <c r="G248">
        <f t="shared" si="14"/>
        <v>1</v>
      </c>
      <c r="H248">
        <f t="shared" si="15"/>
        <v>12.22</v>
      </c>
    </row>
    <row r="249" spans="1:8">
      <c r="A249" t="s">
        <v>6</v>
      </c>
      <c r="B249" s="1">
        <v>45713.343009259261</v>
      </c>
      <c r="C249" s="3">
        <v>2</v>
      </c>
      <c r="D249" s="3">
        <v>59.36</v>
      </c>
      <c r="E249" t="str">
        <f t="shared" si="12"/>
        <v>CUST0259</v>
      </c>
      <c r="F249" s="4">
        <f t="shared" ca="1" si="13"/>
        <v>264.65699074073927</v>
      </c>
      <c r="G249">
        <f t="shared" si="14"/>
        <v>2</v>
      </c>
      <c r="H249">
        <f t="shared" si="15"/>
        <v>59.36</v>
      </c>
    </row>
    <row r="250" spans="1:8">
      <c r="A250" t="s">
        <v>679</v>
      </c>
      <c r="B250" s="1">
        <v>45874.343009259261</v>
      </c>
      <c r="C250" s="3">
        <v>1</v>
      </c>
      <c r="D250" s="3">
        <v>33.6</v>
      </c>
      <c r="E250" t="str">
        <f t="shared" si="12"/>
        <v>CUST0260</v>
      </c>
      <c r="F250" s="4">
        <f t="shared" ca="1" si="13"/>
        <v>103.65699074073927</v>
      </c>
      <c r="G250">
        <f t="shared" si="14"/>
        <v>1</v>
      </c>
      <c r="H250">
        <f t="shared" si="15"/>
        <v>33.6</v>
      </c>
    </row>
    <row r="251" spans="1:8">
      <c r="A251" t="s">
        <v>18</v>
      </c>
      <c r="B251" s="1">
        <v>45921.343009259261</v>
      </c>
      <c r="C251" s="3">
        <v>6</v>
      </c>
      <c r="D251" s="3">
        <v>60.890000000000008</v>
      </c>
      <c r="E251" t="str">
        <f t="shared" si="12"/>
        <v>CUST0261</v>
      </c>
      <c r="F251" s="4">
        <f t="shared" ca="1" si="13"/>
        <v>56.656990740739275</v>
      </c>
      <c r="G251">
        <f t="shared" si="14"/>
        <v>6</v>
      </c>
      <c r="H251">
        <f t="shared" si="15"/>
        <v>60.890000000000008</v>
      </c>
    </row>
    <row r="252" spans="1:8">
      <c r="A252" t="s">
        <v>694</v>
      </c>
      <c r="B252" s="1">
        <v>45953.343009259261</v>
      </c>
      <c r="C252" s="3">
        <v>5</v>
      </c>
      <c r="D252" s="3">
        <v>121.51</v>
      </c>
      <c r="E252" t="str">
        <f t="shared" si="12"/>
        <v>CUST0262</v>
      </c>
      <c r="F252" s="4">
        <f t="shared" ca="1" si="13"/>
        <v>24.656990740739275</v>
      </c>
      <c r="G252">
        <f t="shared" si="14"/>
        <v>5</v>
      </c>
      <c r="H252">
        <f t="shared" si="15"/>
        <v>121.51</v>
      </c>
    </row>
    <row r="253" spans="1:8">
      <c r="A253" t="s">
        <v>382</v>
      </c>
      <c r="B253" s="1">
        <v>45872.343009259261</v>
      </c>
      <c r="C253" s="3">
        <v>3</v>
      </c>
      <c r="D253" s="3">
        <v>57.67</v>
      </c>
      <c r="E253" t="str">
        <f t="shared" si="12"/>
        <v>CUST0263</v>
      </c>
      <c r="F253" s="4">
        <f t="shared" ca="1" si="13"/>
        <v>105.65699074073927</v>
      </c>
      <c r="G253">
        <f t="shared" si="14"/>
        <v>3</v>
      </c>
      <c r="H253">
        <f t="shared" si="15"/>
        <v>57.67</v>
      </c>
    </row>
    <row r="254" spans="1:8">
      <c r="A254" t="s">
        <v>334</v>
      </c>
      <c r="B254" s="1">
        <v>45933.343009259261</v>
      </c>
      <c r="C254" s="3">
        <v>6</v>
      </c>
      <c r="D254" s="3">
        <v>126.84</v>
      </c>
      <c r="E254" t="str">
        <f t="shared" si="12"/>
        <v>CUST0264</v>
      </c>
      <c r="F254" s="4">
        <f t="shared" ca="1" si="13"/>
        <v>44.656990740739275</v>
      </c>
      <c r="G254">
        <f t="shared" si="14"/>
        <v>6</v>
      </c>
      <c r="H254">
        <f t="shared" si="15"/>
        <v>126.84</v>
      </c>
    </row>
    <row r="255" spans="1:8">
      <c r="A255" t="s">
        <v>37</v>
      </c>
      <c r="B255" s="1">
        <v>45955.343009259261</v>
      </c>
      <c r="C255" s="3">
        <v>2</v>
      </c>
      <c r="D255" s="3">
        <v>50.75</v>
      </c>
      <c r="E255" t="str">
        <f t="shared" si="12"/>
        <v>CUST0265</v>
      </c>
      <c r="F255" s="4">
        <f t="shared" ca="1" si="13"/>
        <v>22.656990740739275</v>
      </c>
      <c r="G255">
        <f t="shared" si="14"/>
        <v>2</v>
      </c>
      <c r="H255">
        <f t="shared" si="15"/>
        <v>50.75</v>
      </c>
    </row>
    <row r="256" spans="1:8">
      <c r="A256" t="s">
        <v>340</v>
      </c>
      <c r="B256" s="1">
        <v>45868.343009259261</v>
      </c>
      <c r="C256" s="3">
        <v>4</v>
      </c>
      <c r="D256" s="3">
        <v>37.729999999999997</v>
      </c>
      <c r="E256" t="str">
        <f t="shared" si="12"/>
        <v>CUST0266</v>
      </c>
      <c r="F256" s="4">
        <f t="shared" ca="1" si="13"/>
        <v>109.65699074073927</v>
      </c>
      <c r="G256">
        <f t="shared" si="14"/>
        <v>4</v>
      </c>
      <c r="H256">
        <f t="shared" si="15"/>
        <v>37.729999999999997</v>
      </c>
    </row>
    <row r="257" spans="1:8">
      <c r="A257" t="s">
        <v>62</v>
      </c>
      <c r="B257" s="1">
        <v>45834.343009259261</v>
      </c>
      <c r="C257" s="3">
        <v>6</v>
      </c>
      <c r="D257" s="3">
        <v>140.88999999999999</v>
      </c>
      <c r="E257" t="str">
        <f t="shared" si="12"/>
        <v>CUST0267</v>
      </c>
      <c r="F257" s="4">
        <f t="shared" ca="1" si="13"/>
        <v>143.65699074073927</v>
      </c>
      <c r="G257">
        <f t="shared" si="14"/>
        <v>6</v>
      </c>
      <c r="H257">
        <f t="shared" si="15"/>
        <v>140.88999999999999</v>
      </c>
    </row>
    <row r="258" spans="1:8">
      <c r="A258" t="s">
        <v>487</v>
      </c>
      <c r="B258" s="1">
        <v>45748.343009259261</v>
      </c>
      <c r="C258" s="3">
        <v>3</v>
      </c>
      <c r="D258" s="3">
        <v>80.47</v>
      </c>
      <c r="E258" t="str">
        <f t="shared" si="12"/>
        <v>CUST0268</v>
      </c>
      <c r="F258" s="4">
        <f t="shared" ca="1" si="13"/>
        <v>229.65699074073927</v>
      </c>
      <c r="G258">
        <f t="shared" si="14"/>
        <v>3</v>
      </c>
      <c r="H258">
        <f t="shared" si="15"/>
        <v>80.47</v>
      </c>
    </row>
    <row r="259" spans="1:8">
      <c r="A259" t="s">
        <v>633</v>
      </c>
      <c r="B259" s="1">
        <v>45775.343009259261</v>
      </c>
      <c r="C259" s="3">
        <v>4</v>
      </c>
      <c r="D259" s="3">
        <v>70.960000000000008</v>
      </c>
      <c r="E259" t="str">
        <f t="shared" si="12"/>
        <v>CUST0269</v>
      </c>
      <c r="F259" s="4">
        <f t="shared" ca="1" si="13"/>
        <v>202.65699074073927</v>
      </c>
      <c r="G259">
        <f t="shared" si="14"/>
        <v>4</v>
      </c>
      <c r="H259">
        <f t="shared" si="15"/>
        <v>70.960000000000008</v>
      </c>
    </row>
    <row r="260" spans="1:8">
      <c r="A260" t="s">
        <v>66</v>
      </c>
      <c r="B260" s="1">
        <v>45831.343009259261</v>
      </c>
      <c r="C260" s="3">
        <v>4</v>
      </c>
      <c r="D260" s="3">
        <v>83.37</v>
      </c>
      <c r="E260" t="str">
        <f t="shared" si="12"/>
        <v>CUST0270</v>
      </c>
      <c r="F260" s="4">
        <f t="shared" ca="1" si="13"/>
        <v>146.65699074073927</v>
      </c>
      <c r="G260">
        <f t="shared" si="14"/>
        <v>4</v>
      </c>
      <c r="H260">
        <f t="shared" si="15"/>
        <v>83.37</v>
      </c>
    </row>
    <row r="261" spans="1:8">
      <c r="A261" t="s">
        <v>856</v>
      </c>
      <c r="B261" s="1">
        <v>45917.343009259261</v>
      </c>
      <c r="C261" s="3">
        <v>5</v>
      </c>
      <c r="D261" s="3">
        <v>117.98</v>
      </c>
      <c r="E261" t="str">
        <f t="shared" ref="E261:E291" si="16">A261</f>
        <v>CUST0271</v>
      </c>
      <c r="F261" s="4">
        <f t="shared" ref="F261:F291" ca="1" si="17">TODAY()-B261</f>
        <v>60.656990740739275</v>
      </c>
      <c r="G261">
        <f t="shared" ref="G261:G291" si="18">C261</f>
        <v>5</v>
      </c>
      <c r="H261">
        <f t="shared" ref="H261:H291" si="19">D261</f>
        <v>117.98</v>
      </c>
    </row>
    <row r="262" spans="1:8">
      <c r="A262" t="s">
        <v>647</v>
      </c>
      <c r="B262" s="1">
        <v>45600.343009259261</v>
      </c>
      <c r="C262" s="3">
        <v>1</v>
      </c>
      <c r="D262" s="3">
        <v>4.37</v>
      </c>
      <c r="E262" t="str">
        <f t="shared" si="16"/>
        <v>CUST0272</v>
      </c>
      <c r="F262" s="4">
        <f t="shared" ca="1" si="17"/>
        <v>377.65699074073927</v>
      </c>
      <c r="G262">
        <f t="shared" si="18"/>
        <v>1</v>
      </c>
      <c r="H262">
        <f t="shared" si="19"/>
        <v>4.37</v>
      </c>
    </row>
    <row r="263" spans="1:8">
      <c r="A263" t="s">
        <v>35</v>
      </c>
      <c r="B263" s="1">
        <v>45768.343009259261</v>
      </c>
      <c r="C263" s="3">
        <v>3</v>
      </c>
      <c r="D263" s="3">
        <v>55.449999999999996</v>
      </c>
      <c r="E263" t="str">
        <f t="shared" si="16"/>
        <v>CUST0273</v>
      </c>
      <c r="F263" s="4">
        <f t="shared" ca="1" si="17"/>
        <v>209.65699074073927</v>
      </c>
      <c r="G263">
        <f t="shared" si="18"/>
        <v>3</v>
      </c>
      <c r="H263">
        <f t="shared" si="19"/>
        <v>55.449999999999996</v>
      </c>
    </row>
    <row r="264" spans="1:8">
      <c r="A264" t="s">
        <v>636</v>
      </c>
      <c r="B264" s="1">
        <v>45921.343009259261</v>
      </c>
      <c r="C264" s="3">
        <v>3</v>
      </c>
      <c r="D264" s="3">
        <v>71.960000000000008</v>
      </c>
      <c r="E264" t="str">
        <f t="shared" si="16"/>
        <v>CUST0274</v>
      </c>
      <c r="F264" s="4">
        <f t="shared" ca="1" si="17"/>
        <v>56.656990740739275</v>
      </c>
      <c r="G264">
        <f t="shared" si="18"/>
        <v>3</v>
      </c>
      <c r="H264">
        <f t="shared" si="19"/>
        <v>71.960000000000008</v>
      </c>
    </row>
    <row r="265" spans="1:8">
      <c r="A265" t="s">
        <v>562</v>
      </c>
      <c r="B265" s="1">
        <v>45711.343009259261</v>
      </c>
      <c r="C265" s="3">
        <v>2</v>
      </c>
      <c r="D265" s="3">
        <v>27.740000000000002</v>
      </c>
      <c r="E265" t="str">
        <f t="shared" si="16"/>
        <v>CUST0275</v>
      </c>
      <c r="F265" s="4">
        <f t="shared" ca="1" si="17"/>
        <v>266.65699074073927</v>
      </c>
      <c r="G265">
        <f t="shared" si="18"/>
        <v>2</v>
      </c>
      <c r="H265">
        <f t="shared" si="19"/>
        <v>27.740000000000002</v>
      </c>
    </row>
    <row r="266" spans="1:8">
      <c r="A266" t="s">
        <v>1082</v>
      </c>
      <c r="B266" s="1">
        <v>45746.343009259261</v>
      </c>
      <c r="C266" s="3">
        <v>2</v>
      </c>
      <c r="D266" s="3">
        <v>48.74</v>
      </c>
      <c r="E266" t="str">
        <f t="shared" si="16"/>
        <v>CUST0276</v>
      </c>
      <c r="F266" s="4">
        <f t="shared" ca="1" si="17"/>
        <v>231.65699074073927</v>
      </c>
      <c r="G266">
        <f t="shared" si="18"/>
        <v>2</v>
      </c>
      <c r="H266">
        <f t="shared" si="19"/>
        <v>48.74</v>
      </c>
    </row>
    <row r="267" spans="1:8">
      <c r="A267" t="s">
        <v>922</v>
      </c>
      <c r="B267" s="1">
        <v>45823.343009259261</v>
      </c>
      <c r="C267" s="3">
        <v>3</v>
      </c>
      <c r="D267" s="3">
        <v>34.480000000000004</v>
      </c>
      <c r="E267" t="str">
        <f t="shared" si="16"/>
        <v>CUST0277</v>
      </c>
      <c r="F267" s="4">
        <f t="shared" ca="1" si="17"/>
        <v>154.65699074073927</v>
      </c>
      <c r="G267">
        <f t="shared" si="18"/>
        <v>3</v>
      </c>
      <c r="H267">
        <f t="shared" si="19"/>
        <v>34.480000000000004</v>
      </c>
    </row>
    <row r="268" spans="1:8">
      <c r="A268" t="s">
        <v>450</v>
      </c>
      <c r="B268" s="1">
        <v>45874.343009259261</v>
      </c>
      <c r="C268" s="3">
        <v>2</v>
      </c>
      <c r="D268" s="3">
        <v>27.89</v>
      </c>
      <c r="E268" t="str">
        <f t="shared" si="16"/>
        <v>CUST0278</v>
      </c>
      <c r="F268" s="4">
        <f t="shared" ca="1" si="17"/>
        <v>103.65699074073927</v>
      </c>
      <c r="G268">
        <f t="shared" si="18"/>
        <v>2</v>
      </c>
      <c r="H268">
        <f t="shared" si="19"/>
        <v>27.89</v>
      </c>
    </row>
    <row r="269" spans="1:8">
      <c r="A269" t="s">
        <v>1180</v>
      </c>
      <c r="B269" s="1">
        <v>45623.343009259261</v>
      </c>
      <c r="C269" s="3">
        <v>1</v>
      </c>
      <c r="D269" s="3">
        <v>5.19</v>
      </c>
      <c r="E269" t="str">
        <f t="shared" si="16"/>
        <v>CUST0279</v>
      </c>
      <c r="F269" s="4">
        <f t="shared" ca="1" si="17"/>
        <v>354.65699074073927</v>
      </c>
      <c r="G269">
        <f t="shared" si="18"/>
        <v>1</v>
      </c>
      <c r="H269">
        <f t="shared" si="19"/>
        <v>5.19</v>
      </c>
    </row>
    <row r="270" spans="1:8">
      <c r="A270" t="s">
        <v>422</v>
      </c>
      <c r="B270" s="1">
        <v>45765.343009259261</v>
      </c>
      <c r="C270" s="3">
        <v>2</v>
      </c>
      <c r="D270" s="3">
        <v>11.09</v>
      </c>
      <c r="E270" t="str">
        <f t="shared" si="16"/>
        <v>CUST0280</v>
      </c>
      <c r="F270" s="4">
        <f t="shared" ca="1" si="17"/>
        <v>212.65699074073927</v>
      </c>
      <c r="G270">
        <f t="shared" si="18"/>
        <v>2</v>
      </c>
      <c r="H270">
        <f t="shared" si="19"/>
        <v>11.09</v>
      </c>
    </row>
    <row r="271" spans="1:8">
      <c r="A271" t="s">
        <v>444</v>
      </c>
      <c r="B271" s="1">
        <v>45763.343009259261</v>
      </c>
      <c r="C271" s="3">
        <v>3</v>
      </c>
      <c r="D271" s="3">
        <v>47.22</v>
      </c>
      <c r="E271" t="str">
        <f t="shared" si="16"/>
        <v>CUST0281</v>
      </c>
      <c r="F271" s="4">
        <f t="shared" ca="1" si="17"/>
        <v>214.65699074073927</v>
      </c>
      <c r="G271">
        <f t="shared" si="18"/>
        <v>3</v>
      </c>
      <c r="H271">
        <f t="shared" si="19"/>
        <v>47.22</v>
      </c>
    </row>
    <row r="272" spans="1:8">
      <c r="A272" t="s">
        <v>183</v>
      </c>
      <c r="B272" s="1">
        <v>45935.343009259261</v>
      </c>
      <c r="C272" s="3">
        <v>6</v>
      </c>
      <c r="D272" s="3">
        <v>70.48</v>
      </c>
      <c r="E272" t="str">
        <f t="shared" si="16"/>
        <v>CUST0282</v>
      </c>
      <c r="F272" s="4">
        <f t="shared" ca="1" si="17"/>
        <v>42.656990740739275</v>
      </c>
      <c r="G272">
        <f t="shared" si="18"/>
        <v>6</v>
      </c>
      <c r="H272">
        <f t="shared" si="19"/>
        <v>70.48</v>
      </c>
    </row>
    <row r="273" spans="1:8">
      <c r="A273" t="s">
        <v>187</v>
      </c>
      <c r="B273" s="1">
        <v>45922.343009259261</v>
      </c>
      <c r="C273" s="3">
        <v>1</v>
      </c>
      <c r="D273" s="3">
        <v>5.6</v>
      </c>
      <c r="E273" t="str">
        <f t="shared" si="16"/>
        <v>CUST0283</v>
      </c>
      <c r="F273" s="4">
        <f t="shared" ca="1" si="17"/>
        <v>55.656990740739275</v>
      </c>
      <c r="G273">
        <f t="shared" si="18"/>
        <v>1</v>
      </c>
      <c r="H273">
        <f t="shared" si="19"/>
        <v>5.6</v>
      </c>
    </row>
    <row r="274" spans="1:8">
      <c r="A274" t="s">
        <v>745</v>
      </c>
      <c r="B274" s="1">
        <v>45903.343009259261</v>
      </c>
      <c r="C274" s="3">
        <v>2</v>
      </c>
      <c r="D274" s="3">
        <v>71.95</v>
      </c>
      <c r="E274" t="str">
        <f t="shared" si="16"/>
        <v>CUST0284</v>
      </c>
      <c r="F274" s="4">
        <f t="shared" ca="1" si="17"/>
        <v>74.656990740739275</v>
      </c>
      <c r="G274">
        <f t="shared" si="18"/>
        <v>2</v>
      </c>
      <c r="H274">
        <f t="shared" si="19"/>
        <v>71.95</v>
      </c>
    </row>
    <row r="275" spans="1:8">
      <c r="A275" t="s">
        <v>281</v>
      </c>
      <c r="B275" s="1">
        <v>45875.343009259261</v>
      </c>
      <c r="C275" s="3">
        <v>8</v>
      </c>
      <c r="D275" s="3">
        <v>143.59</v>
      </c>
      <c r="E275" t="str">
        <f t="shared" si="16"/>
        <v>CUST0285</v>
      </c>
      <c r="F275" s="4">
        <f t="shared" ca="1" si="17"/>
        <v>102.65699074073927</v>
      </c>
      <c r="G275">
        <f t="shared" si="18"/>
        <v>8</v>
      </c>
      <c r="H275">
        <f t="shared" si="19"/>
        <v>143.59</v>
      </c>
    </row>
    <row r="276" spans="1:8">
      <c r="A276" t="s">
        <v>68</v>
      </c>
      <c r="B276" s="1">
        <v>45940.343009259261</v>
      </c>
      <c r="C276" s="3">
        <v>2</v>
      </c>
      <c r="D276" s="3">
        <v>15.41</v>
      </c>
      <c r="E276" t="str">
        <f t="shared" si="16"/>
        <v>CUST0286</v>
      </c>
      <c r="F276" s="4">
        <f t="shared" ca="1" si="17"/>
        <v>37.656990740739275</v>
      </c>
      <c r="G276">
        <f t="shared" si="18"/>
        <v>2</v>
      </c>
      <c r="H276">
        <f t="shared" si="19"/>
        <v>15.41</v>
      </c>
    </row>
    <row r="277" spans="1:8">
      <c r="A277" t="s">
        <v>221</v>
      </c>
      <c r="B277" s="1">
        <v>45935.343009259261</v>
      </c>
      <c r="C277" s="3">
        <v>4</v>
      </c>
      <c r="D277" s="3">
        <v>40.15</v>
      </c>
      <c r="E277" t="str">
        <f t="shared" si="16"/>
        <v>CUST0287</v>
      </c>
      <c r="F277" s="4">
        <f t="shared" ca="1" si="17"/>
        <v>42.656990740739275</v>
      </c>
      <c r="G277">
        <f t="shared" si="18"/>
        <v>4</v>
      </c>
      <c r="H277">
        <f t="shared" si="19"/>
        <v>40.15</v>
      </c>
    </row>
    <row r="278" spans="1:8">
      <c r="A278" t="s">
        <v>98</v>
      </c>
      <c r="B278" s="1">
        <v>45913.343009259261</v>
      </c>
      <c r="C278" s="3">
        <v>7</v>
      </c>
      <c r="D278" s="3">
        <v>88.53</v>
      </c>
      <c r="E278" t="str">
        <f t="shared" si="16"/>
        <v>CUST0288</v>
      </c>
      <c r="F278" s="4">
        <f t="shared" ca="1" si="17"/>
        <v>64.656990740739275</v>
      </c>
      <c r="G278">
        <f t="shared" si="18"/>
        <v>7</v>
      </c>
      <c r="H278">
        <f t="shared" si="19"/>
        <v>88.53</v>
      </c>
    </row>
    <row r="279" spans="1:8">
      <c r="A279" t="s">
        <v>134</v>
      </c>
      <c r="B279" s="1">
        <v>45877.343009259261</v>
      </c>
      <c r="C279" s="3">
        <v>7</v>
      </c>
      <c r="D279" s="3">
        <v>121.16999999999999</v>
      </c>
      <c r="E279" t="str">
        <f t="shared" si="16"/>
        <v>CUST0289</v>
      </c>
      <c r="F279" s="4">
        <f t="shared" ca="1" si="17"/>
        <v>100.65699074073927</v>
      </c>
      <c r="G279">
        <f t="shared" si="18"/>
        <v>7</v>
      </c>
      <c r="H279">
        <f t="shared" si="19"/>
        <v>121.16999999999999</v>
      </c>
    </row>
    <row r="280" spans="1:8">
      <c r="A280" t="s">
        <v>1142</v>
      </c>
      <c r="B280" s="1">
        <v>45728.343009259261</v>
      </c>
      <c r="C280" s="3">
        <v>2</v>
      </c>
      <c r="D280" s="3">
        <v>69.789999999999992</v>
      </c>
      <c r="E280" t="str">
        <f t="shared" si="16"/>
        <v>CUST0290</v>
      </c>
      <c r="F280" s="4">
        <f t="shared" ca="1" si="17"/>
        <v>249.65699074073927</v>
      </c>
      <c r="G280">
        <f t="shared" si="18"/>
        <v>2</v>
      </c>
      <c r="H280">
        <f t="shared" si="19"/>
        <v>69.789999999999992</v>
      </c>
    </row>
    <row r="281" spans="1:8">
      <c r="A281" t="s">
        <v>70</v>
      </c>
      <c r="B281" s="1">
        <v>45941.343009259261</v>
      </c>
      <c r="C281" s="3">
        <v>6</v>
      </c>
      <c r="D281" s="3">
        <v>125.53</v>
      </c>
      <c r="E281" t="str">
        <f t="shared" si="16"/>
        <v>CUST0291</v>
      </c>
      <c r="F281" s="4">
        <f t="shared" ca="1" si="17"/>
        <v>36.656990740739275</v>
      </c>
      <c r="G281">
        <f t="shared" si="18"/>
        <v>6</v>
      </c>
      <c r="H281">
        <f t="shared" si="19"/>
        <v>125.53</v>
      </c>
    </row>
    <row r="282" spans="1:8">
      <c r="A282" t="s">
        <v>181</v>
      </c>
      <c r="B282" s="1">
        <v>45896.343009259261</v>
      </c>
      <c r="C282" s="3">
        <v>3</v>
      </c>
      <c r="D282" s="3">
        <v>69.42</v>
      </c>
      <c r="E282" t="str">
        <f t="shared" si="16"/>
        <v>CUST0292</v>
      </c>
      <c r="F282" s="4">
        <f t="shared" ca="1" si="17"/>
        <v>81.656990740739275</v>
      </c>
      <c r="G282">
        <f t="shared" si="18"/>
        <v>3</v>
      </c>
      <c r="H282">
        <f t="shared" si="19"/>
        <v>69.42</v>
      </c>
    </row>
    <row r="283" spans="1:8">
      <c r="A283" t="s">
        <v>213</v>
      </c>
      <c r="B283" s="1">
        <v>45944.343009259261</v>
      </c>
      <c r="C283" s="3">
        <v>12</v>
      </c>
      <c r="D283" s="3">
        <v>190.97</v>
      </c>
      <c r="E283" t="str">
        <f t="shared" si="16"/>
        <v>CUST0293</v>
      </c>
      <c r="F283" s="4">
        <f t="shared" ca="1" si="17"/>
        <v>33.656990740739275</v>
      </c>
      <c r="G283">
        <f t="shared" si="18"/>
        <v>12</v>
      </c>
      <c r="H283">
        <f t="shared" si="19"/>
        <v>190.97</v>
      </c>
    </row>
    <row r="284" spans="1:8">
      <c r="A284" t="s">
        <v>155</v>
      </c>
      <c r="B284" s="1">
        <v>45836.343009259261</v>
      </c>
      <c r="C284" s="3">
        <v>3</v>
      </c>
      <c r="D284" s="3">
        <v>59.379999999999995</v>
      </c>
      <c r="E284" t="str">
        <f t="shared" si="16"/>
        <v>CUST0294</v>
      </c>
      <c r="F284" s="4">
        <f t="shared" ca="1" si="17"/>
        <v>141.65699074073927</v>
      </c>
      <c r="G284">
        <f t="shared" si="18"/>
        <v>3</v>
      </c>
      <c r="H284">
        <f t="shared" si="19"/>
        <v>59.379999999999995</v>
      </c>
    </row>
    <row r="285" spans="1:8">
      <c r="A285" t="s">
        <v>92</v>
      </c>
      <c r="B285" s="1">
        <v>45870.343009259261</v>
      </c>
      <c r="C285" s="3">
        <v>5</v>
      </c>
      <c r="D285" s="3">
        <v>57.31</v>
      </c>
      <c r="E285" t="str">
        <f t="shared" si="16"/>
        <v>CUST0295</v>
      </c>
      <c r="F285" s="4">
        <f t="shared" ca="1" si="17"/>
        <v>107.65699074073927</v>
      </c>
      <c r="G285">
        <f t="shared" si="18"/>
        <v>5</v>
      </c>
      <c r="H285">
        <f t="shared" si="19"/>
        <v>57.31</v>
      </c>
    </row>
    <row r="286" spans="1:8">
      <c r="A286" t="s">
        <v>58</v>
      </c>
      <c r="B286" s="1">
        <v>45915.343009259261</v>
      </c>
      <c r="C286" s="3">
        <v>5</v>
      </c>
      <c r="D286" s="3">
        <v>97.41</v>
      </c>
      <c r="E286" t="str">
        <f t="shared" si="16"/>
        <v>CUST0296</v>
      </c>
      <c r="F286" s="4">
        <f t="shared" ca="1" si="17"/>
        <v>62.656990740739275</v>
      </c>
      <c r="G286">
        <f t="shared" si="18"/>
        <v>5</v>
      </c>
      <c r="H286">
        <f t="shared" si="19"/>
        <v>97.41</v>
      </c>
    </row>
    <row r="287" spans="1:8">
      <c r="A287" t="s">
        <v>228</v>
      </c>
      <c r="B287" s="1">
        <v>45955.343009259261</v>
      </c>
      <c r="C287" s="3">
        <v>2</v>
      </c>
      <c r="D287" s="3">
        <v>41.12</v>
      </c>
      <c r="E287" t="str">
        <f t="shared" si="16"/>
        <v>CUST0297</v>
      </c>
      <c r="F287" s="4">
        <f t="shared" ca="1" si="17"/>
        <v>22.656990740739275</v>
      </c>
      <c r="G287">
        <f t="shared" si="18"/>
        <v>2</v>
      </c>
      <c r="H287">
        <f t="shared" si="19"/>
        <v>41.12</v>
      </c>
    </row>
    <row r="288" spans="1:8">
      <c r="A288" t="s">
        <v>1052</v>
      </c>
      <c r="B288" s="1">
        <v>45913.343009259261</v>
      </c>
      <c r="C288" s="3">
        <v>2</v>
      </c>
      <c r="D288" s="3">
        <v>28.03</v>
      </c>
      <c r="E288" t="str">
        <f t="shared" si="16"/>
        <v>CUST0298</v>
      </c>
      <c r="F288" s="4">
        <f t="shared" ca="1" si="17"/>
        <v>64.656990740739275</v>
      </c>
      <c r="G288">
        <f t="shared" si="18"/>
        <v>2</v>
      </c>
      <c r="H288">
        <f t="shared" si="19"/>
        <v>28.03</v>
      </c>
    </row>
    <row r="289" spans="1:8">
      <c r="A289" t="s">
        <v>185</v>
      </c>
      <c r="B289" s="1">
        <v>45955.343009259261</v>
      </c>
      <c r="C289" s="3">
        <v>2</v>
      </c>
      <c r="D289" s="3">
        <v>36.299999999999997</v>
      </c>
      <c r="E289" t="str">
        <f t="shared" si="16"/>
        <v>CUST0299</v>
      </c>
      <c r="F289" s="4">
        <f t="shared" ca="1" si="17"/>
        <v>22.656990740739275</v>
      </c>
      <c r="G289">
        <f t="shared" si="18"/>
        <v>2</v>
      </c>
      <c r="H289">
        <f t="shared" si="19"/>
        <v>36.299999999999997</v>
      </c>
    </row>
    <row r="290" spans="1:8">
      <c r="A290" t="s">
        <v>1000</v>
      </c>
      <c r="B290" s="1">
        <v>45846.343009259261</v>
      </c>
      <c r="C290" s="3">
        <v>2</v>
      </c>
      <c r="D290" s="3">
        <v>48.06</v>
      </c>
      <c r="E290" t="str">
        <f t="shared" si="16"/>
        <v>CUST0300</v>
      </c>
      <c r="F290" s="4">
        <f t="shared" ca="1" si="17"/>
        <v>131.65699074073927</v>
      </c>
      <c r="G290">
        <f t="shared" si="18"/>
        <v>2</v>
      </c>
      <c r="H290">
        <f t="shared" si="19"/>
        <v>48.06</v>
      </c>
    </row>
    <row r="291" spans="1:8">
      <c r="A291" t="s">
        <v>1305</v>
      </c>
      <c r="B291" s="1">
        <v>45960.343009259261</v>
      </c>
      <c r="C291" s="3">
        <v>1000</v>
      </c>
      <c r="D291" s="3">
        <v>17209.440000000002</v>
      </c>
      <c r="E291" t="str">
        <f t="shared" si="16"/>
        <v>Grand Total</v>
      </c>
      <c r="F291" s="4">
        <f t="shared" ca="1" si="17"/>
        <v>17.656990740739275</v>
      </c>
      <c r="G291">
        <f t="shared" si="18"/>
        <v>1000</v>
      </c>
      <c r="H291">
        <f t="shared" si="19"/>
        <v>17209.440000000002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F3F1-E71C-43F4-8534-66D48A1D4F56}">
  <dimension ref="A1:I288"/>
  <sheetViews>
    <sheetView workbookViewId="0">
      <selection activeCell="L3" sqref="L3"/>
    </sheetView>
  </sheetViews>
  <sheetFormatPr defaultRowHeight="15"/>
  <cols>
    <col min="1" max="1" width="14.5703125" bestFit="1" customWidth="1"/>
    <col min="2" max="2" width="10.28515625" style="4" bestFit="1" customWidth="1"/>
    <col min="3" max="3" width="12.28515625" bestFit="1" customWidth="1"/>
    <col min="4" max="4" width="11.7109375" bestFit="1" customWidth="1"/>
    <col min="5" max="5" width="8" bestFit="1" customWidth="1"/>
    <col min="6" max="6" width="10" bestFit="1" customWidth="1"/>
    <col min="7" max="7" width="10.85546875" bestFit="1" customWidth="1"/>
    <col min="8" max="8" width="13" bestFit="1" customWidth="1"/>
    <col min="9" max="9" width="23.5703125" bestFit="1" customWidth="1"/>
  </cols>
  <sheetData>
    <row r="1" spans="1:9">
      <c r="A1" s="6" t="s">
        <v>1304</v>
      </c>
      <c r="B1" s="8" t="s">
        <v>1298</v>
      </c>
      <c r="C1" s="6" t="s">
        <v>1299</v>
      </c>
      <c r="D1" s="6" t="s">
        <v>1300</v>
      </c>
      <c r="E1" s="7" t="s">
        <v>1306</v>
      </c>
      <c r="F1" s="7" t="s">
        <v>1307</v>
      </c>
      <c r="G1" s="7" t="s">
        <v>1308</v>
      </c>
      <c r="H1" s="7" t="s">
        <v>1309</v>
      </c>
      <c r="I1" s="7" t="s">
        <v>1310</v>
      </c>
    </row>
    <row r="2" spans="1:9">
      <c r="A2" t="s">
        <v>56</v>
      </c>
      <c r="B2" s="4">
        <v>47.656990740739275</v>
      </c>
      <c r="C2">
        <v>5</v>
      </c>
      <c r="D2">
        <v>64.5</v>
      </c>
      <c r="E2" s="5" cm="1">
        <f t="array" ref="E2">_xlfn.IFS(B2&lt;=_xlfn.PERCENTILE.INC($B$2:$B$288,0.2),5,B2&lt;=_xlfn.PERCENTILE.INC($B$2:$B$288,0.4),4,B2&lt;=_xlfn.PERCENTILE.INC($B$2:$B$288,0.6),3,B2&lt;=_xlfn.PERCENTILE.INC($B$2:$B$288,0.8),2,B2&gt;_xlfn.PERCENTILE.INC($B$2:$B$288,0.8),1)</f>
        <v>4</v>
      </c>
      <c r="F2" cm="1">
        <f t="array" ref="F2">_xlfn.IFS(C2&gt;=_xlfn.PERCENTILE.INC($C$2:$C$288,0.8),5,C2&gt;=_xlfn.PERCENTILE.INC($C$2:$C$288,0.6),4,C2&gt;=_xlfn.PERCENTILE.INC($C$2:$C$288,0.4),3,C2&gt;=_xlfn.PERCENTILE.INC($C$2:$C$288,0.2),2,C2&lt;_xlfn.PERCENTILE.INC($C$2:$C$288,0.2),1)</f>
        <v>5</v>
      </c>
      <c r="G2" cm="1">
        <f t="array" ref="G2">_xlfn.IFS(D2&gt;=_xlfn.PERCENTILE.INC($D$2:$D$288,0.8),5,D2&gt;=_xlfn.PERCENTILE.INC($D$2:$D$288,0.6),4,D2&gt;=_xlfn.PERCENTILE.INC($D$2:$D$288,0.4),3,D2&gt;=_xlfn.PERCENTILE.INC($D$2:$D$288,0.2),2,D2&lt;_xlfn.PERCENTILE.INC($D$2:$D$288,0.2),1)</f>
        <v>4</v>
      </c>
      <c r="H2">
        <f>E2+F2+G2</f>
        <v>13</v>
      </c>
      <c r="I2" t="str" cm="1">
        <f t="array" ref="I2">_xlfn.IFS(H2&gt;=13,"Best Customers",H2&gt;=10,"Loyal Customers",H2&gt;=7,"Potential Loyal Customers",H2&gt;=4,"Need Attention",TRUE,"At Risk")</f>
        <v>Best Customers</v>
      </c>
    </row>
    <row r="3" spans="1:9">
      <c r="A3" t="s">
        <v>400</v>
      </c>
      <c r="B3" s="4">
        <v>17.656990740739275</v>
      </c>
      <c r="C3">
        <v>4</v>
      </c>
      <c r="D3">
        <v>53.9</v>
      </c>
      <c r="E3" s="5" cm="1">
        <f t="array" ref="E3">_xlfn.IFS(B3&lt;=_xlfn.PERCENTILE.INC($B$2:$B$288,0.2),5,B3&lt;=_xlfn.PERCENTILE.INC($B$2:$B$288,0.4),4,B3&lt;=_xlfn.PERCENTILE.INC($B$2:$B$288,0.6),3,B3&lt;=_xlfn.PERCENTILE.INC($B$2:$B$288,0.8),2,B3&gt;_xlfn.PERCENTILE.INC($B$2:$B$288,0.8),1)</f>
        <v>5</v>
      </c>
      <c r="F3" cm="1">
        <f t="array" ref="F3">_xlfn.IFS(C3&gt;=_xlfn.PERCENTILE.INC($C$2:$C$288,0.8),5,C3&gt;=_xlfn.PERCENTILE.INC($C$2:$C$288,0.6),4,C3&gt;=_xlfn.PERCENTILE.INC($C$2:$C$288,0.4),3,C3&gt;=_xlfn.PERCENTILE.INC($C$2:$C$288,0.2),2,C3&lt;_xlfn.PERCENTILE.INC($C$2:$C$288,0.2),1)</f>
        <v>4</v>
      </c>
      <c r="G3" cm="1">
        <f t="array" ref="G3">_xlfn.IFS(D3&gt;=_xlfn.PERCENTILE.INC($D$2:$D$288,0.8),5,D3&gt;=_xlfn.PERCENTILE.INC($D$2:$D$288,0.6),4,D3&gt;=_xlfn.PERCENTILE.INC($D$2:$D$288,0.4),3,D3&gt;=_xlfn.PERCENTILE.INC($D$2:$D$288,0.2),2,D3&lt;_xlfn.PERCENTILE.INC($D$2:$D$288,0.2),1)</f>
        <v>3</v>
      </c>
      <c r="H3">
        <f t="shared" ref="H3:H66" si="0">E3+F3+G3</f>
        <v>12</v>
      </c>
      <c r="I3" t="str" cm="1">
        <f t="array" ref="I3">_xlfn.IFS(H3&gt;=13,"Best Customers",H3&gt;=10,"Loyal Customers",H3&gt;=7,"Potential Loyal Customers",H3&gt;=4,"Need Attention",TRUE,"At Risk")</f>
        <v>Loyal Customers</v>
      </c>
    </row>
    <row r="4" spans="1:9">
      <c r="A4" t="s">
        <v>655</v>
      </c>
      <c r="B4" s="4">
        <v>155.65699074073927</v>
      </c>
      <c r="C4">
        <v>4</v>
      </c>
      <c r="D4">
        <v>75.75</v>
      </c>
      <c r="E4" s="5" cm="1">
        <f t="array" ref="E4">_xlfn.IFS(B4&lt;=_xlfn.PERCENTILE.INC($B$2:$B$288,0.2),5,B4&lt;=_xlfn.PERCENTILE.INC($B$2:$B$288,0.4),4,B4&lt;=_xlfn.PERCENTILE.INC($B$2:$B$288,0.6),3,B4&lt;=_xlfn.PERCENTILE.INC($B$2:$B$288,0.8),2,B4&gt;_xlfn.PERCENTILE.INC($B$2:$B$288,0.8),1)</f>
        <v>2</v>
      </c>
      <c r="F4" cm="1">
        <f t="array" ref="F4">_xlfn.IFS(C4&gt;=_xlfn.PERCENTILE.INC($C$2:$C$288,0.8),5,C4&gt;=_xlfn.PERCENTILE.INC($C$2:$C$288,0.6),4,C4&gt;=_xlfn.PERCENTILE.INC($C$2:$C$288,0.4),3,C4&gt;=_xlfn.PERCENTILE.INC($C$2:$C$288,0.2),2,C4&lt;_xlfn.PERCENTILE.INC($C$2:$C$288,0.2),1)</f>
        <v>4</v>
      </c>
      <c r="G4" cm="1">
        <f t="array" ref="G4">_xlfn.IFS(D4&gt;=_xlfn.PERCENTILE.INC($D$2:$D$288,0.8),5,D4&gt;=_xlfn.PERCENTILE.INC($D$2:$D$288,0.6),4,D4&gt;=_xlfn.PERCENTILE.INC($D$2:$D$288,0.4),3,D4&gt;=_xlfn.PERCENTILE.INC($D$2:$D$288,0.2),2,D4&lt;_xlfn.PERCENTILE.INC($D$2:$D$288,0.2),1)</f>
        <v>4</v>
      </c>
      <c r="H4">
        <f t="shared" si="0"/>
        <v>10</v>
      </c>
      <c r="I4" t="str" cm="1">
        <f t="array" ref="I4">_xlfn.IFS(H4&gt;=13,"Best Customers",H4&gt;=10,"Loyal Customers",H4&gt;=7,"Potential Loyal Customers",H4&gt;=4,"Need Attention",TRUE,"At Risk")</f>
        <v>Loyal Customers</v>
      </c>
    </row>
    <row r="5" spans="1:9">
      <c r="A5" t="s">
        <v>454</v>
      </c>
      <c r="B5" s="4">
        <v>67.656990740739275</v>
      </c>
      <c r="C5">
        <v>4</v>
      </c>
      <c r="D5">
        <v>123.07</v>
      </c>
      <c r="E5" s="5" cm="1">
        <f t="array" ref="E5">_xlfn.IFS(B5&lt;=_xlfn.PERCENTILE.INC($B$2:$B$288,0.2),5,B5&lt;=_xlfn.PERCENTILE.INC($B$2:$B$288,0.4),4,B5&lt;=_xlfn.PERCENTILE.INC($B$2:$B$288,0.6),3,B5&lt;=_xlfn.PERCENTILE.INC($B$2:$B$288,0.8),2,B5&gt;_xlfn.PERCENTILE.INC($B$2:$B$288,0.8),1)</f>
        <v>4</v>
      </c>
      <c r="F5" cm="1">
        <f t="array" ref="F5">_xlfn.IFS(C5&gt;=_xlfn.PERCENTILE.INC($C$2:$C$288,0.8),5,C5&gt;=_xlfn.PERCENTILE.INC($C$2:$C$288,0.6),4,C5&gt;=_xlfn.PERCENTILE.INC($C$2:$C$288,0.4),3,C5&gt;=_xlfn.PERCENTILE.INC($C$2:$C$288,0.2),2,C5&lt;_xlfn.PERCENTILE.INC($C$2:$C$288,0.2),1)</f>
        <v>4</v>
      </c>
      <c r="G5" cm="1">
        <f t="array" ref="G5">_xlfn.IFS(D5&gt;=_xlfn.PERCENTILE.INC($D$2:$D$288,0.8),5,D5&gt;=_xlfn.PERCENTILE.INC($D$2:$D$288,0.6),4,D5&gt;=_xlfn.PERCENTILE.INC($D$2:$D$288,0.4),3,D5&gt;=_xlfn.PERCENTILE.INC($D$2:$D$288,0.2),2,D5&lt;_xlfn.PERCENTILE.INC($D$2:$D$288,0.2),1)</f>
        <v>5</v>
      </c>
      <c r="H5">
        <f t="shared" si="0"/>
        <v>13</v>
      </c>
      <c r="I5" t="str" cm="1">
        <f t="array" ref="I5">_xlfn.IFS(H5&gt;=13,"Best Customers",H5&gt;=10,"Loyal Customers",H5&gt;=7,"Potential Loyal Customers",H5&gt;=4,"Need Attention",TRUE,"At Risk")</f>
        <v>Best Customers</v>
      </c>
    </row>
    <row r="6" spans="1:9">
      <c r="A6" t="s">
        <v>76</v>
      </c>
      <c r="B6" s="4">
        <v>31.656990740739275</v>
      </c>
      <c r="C6">
        <v>4</v>
      </c>
      <c r="D6">
        <v>63.34</v>
      </c>
      <c r="E6" s="5" cm="1">
        <f t="array" ref="E6">_xlfn.IFS(B6&lt;=_xlfn.PERCENTILE.INC($B$2:$B$288,0.2),5,B6&lt;=_xlfn.PERCENTILE.INC($B$2:$B$288,0.4),4,B6&lt;=_xlfn.PERCENTILE.INC($B$2:$B$288,0.6),3,B6&lt;=_xlfn.PERCENTILE.INC($B$2:$B$288,0.8),2,B6&gt;_xlfn.PERCENTILE.INC($B$2:$B$288,0.8),1)</f>
        <v>5</v>
      </c>
      <c r="F6" cm="1">
        <f t="array" ref="F6">_xlfn.IFS(C6&gt;=_xlfn.PERCENTILE.INC($C$2:$C$288,0.8),5,C6&gt;=_xlfn.PERCENTILE.INC($C$2:$C$288,0.6),4,C6&gt;=_xlfn.PERCENTILE.INC($C$2:$C$288,0.4),3,C6&gt;=_xlfn.PERCENTILE.INC($C$2:$C$288,0.2),2,C6&lt;_xlfn.PERCENTILE.INC($C$2:$C$288,0.2),1)</f>
        <v>4</v>
      </c>
      <c r="G6" cm="1">
        <f t="array" ref="G6">_xlfn.IFS(D6&gt;=_xlfn.PERCENTILE.INC($D$2:$D$288,0.8),5,D6&gt;=_xlfn.PERCENTILE.INC($D$2:$D$288,0.6),4,D6&gt;=_xlfn.PERCENTILE.INC($D$2:$D$288,0.4),3,D6&gt;=_xlfn.PERCENTILE.INC($D$2:$D$288,0.2),2,D6&lt;_xlfn.PERCENTILE.INC($D$2:$D$288,0.2),1)</f>
        <v>4</v>
      </c>
      <c r="H6">
        <f t="shared" si="0"/>
        <v>13</v>
      </c>
      <c r="I6" t="str" cm="1">
        <f t="array" ref="I6">_xlfn.IFS(H6&gt;=13,"Best Customers",H6&gt;=10,"Loyal Customers",H6&gt;=7,"Potential Loyal Customers",H6&gt;=4,"Need Attention",TRUE,"At Risk")</f>
        <v>Best Customers</v>
      </c>
    </row>
    <row r="7" spans="1:9">
      <c r="A7" t="s">
        <v>380</v>
      </c>
      <c r="B7" s="4">
        <v>159.65699074073927</v>
      </c>
      <c r="C7">
        <v>5</v>
      </c>
      <c r="D7">
        <v>104.63000000000001</v>
      </c>
      <c r="E7" s="5" cm="1">
        <f t="array" ref="E7">_xlfn.IFS(B7&lt;=_xlfn.PERCENTILE.INC($B$2:$B$288,0.2),5,B7&lt;=_xlfn.PERCENTILE.INC($B$2:$B$288,0.4),4,B7&lt;=_xlfn.PERCENTILE.INC($B$2:$B$288,0.6),3,B7&lt;=_xlfn.PERCENTILE.INC($B$2:$B$288,0.8),2,B7&gt;_xlfn.PERCENTILE.INC($B$2:$B$288,0.8),1)</f>
        <v>2</v>
      </c>
      <c r="F7" cm="1">
        <f t="array" ref="F7">_xlfn.IFS(C7&gt;=_xlfn.PERCENTILE.INC($C$2:$C$288,0.8),5,C7&gt;=_xlfn.PERCENTILE.INC($C$2:$C$288,0.6),4,C7&gt;=_xlfn.PERCENTILE.INC($C$2:$C$288,0.4),3,C7&gt;=_xlfn.PERCENTILE.INC($C$2:$C$288,0.2),2,C7&lt;_xlfn.PERCENTILE.INC($C$2:$C$288,0.2),1)</f>
        <v>5</v>
      </c>
      <c r="G7" cm="1">
        <f t="array" ref="G7">_xlfn.IFS(D7&gt;=_xlfn.PERCENTILE.INC($D$2:$D$288,0.8),5,D7&gt;=_xlfn.PERCENTILE.INC($D$2:$D$288,0.6),4,D7&gt;=_xlfn.PERCENTILE.INC($D$2:$D$288,0.4),3,D7&gt;=_xlfn.PERCENTILE.INC($D$2:$D$288,0.2),2,D7&lt;_xlfn.PERCENTILE.INC($D$2:$D$288,0.2),1)</f>
        <v>5</v>
      </c>
      <c r="H7">
        <f t="shared" si="0"/>
        <v>12</v>
      </c>
      <c r="I7" t="str" cm="1">
        <f t="array" ref="I7">_xlfn.IFS(H7&gt;=13,"Best Customers",H7&gt;=10,"Loyal Customers",H7&gt;=7,"Potential Loyal Customers",H7&gt;=4,"Need Attention",TRUE,"At Risk")</f>
        <v>Loyal Customers</v>
      </c>
    </row>
    <row r="8" spans="1:9">
      <c r="A8" t="s">
        <v>349</v>
      </c>
      <c r="B8" s="4">
        <v>61.656990740739275</v>
      </c>
      <c r="C8">
        <v>4</v>
      </c>
      <c r="D8">
        <v>106.62</v>
      </c>
      <c r="E8" s="5" cm="1">
        <f t="array" ref="E8">_xlfn.IFS(B8&lt;=_xlfn.PERCENTILE.INC($B$2:$B$288,0.2),5,B8&lt;=_xlfn.PERCENTILE.INC($B$2:$B$288,0.4),4,B8&lt;=_xlfn.PERCENTILE.INC($B$2:$B$288,0.6),3,B8&lt;=_xlfn.PERCENTILE.INC($B$2:$B$288,0.8),2,B8&gt;_xlfn.PERCENTILE.INC($B$2:$B$288,0.8),1)</f>
        <v>4</v>
      </c>
      <c r="F8" cm="1">
        <f t="array" ref="F8">_xlfn.IFS(C8&gt;=_xlfn.PERCENTILE.INC($C$2:$C$288,0.8),5,C8&gt;=_xlfn.PERCENTILE.INC($C$2:$C$288,0.6),4,C8&gt;=_xlfn.PERCENTILE.INC($C$2:$C$288,0.4),3,C8&gt;=_xlfn.PERCENTILE.INC($C$2:$C$288,0.2),2,C8&lt;_xlfn.PERCENTILE.INC($C$2:$C$288,0.2),1)</f>
        <v>4</v>
      </c>
      <c r="G8" cm="1">
        <f t="array" ref="G8">_xlfn.IFS(D8&gt;=_xlfn.PERCENTILE.INC($D$2:$D$288,0.8),5,D8&gt;=_xlfn.PERCENTILE.INC($D$2:$D$288,0.6),4,D8&gt;=_xlfn.PERCENTILE.INC($D$2:$D$288,0.4),3,D8&gt;=_xlfn.PERCENTILE.INC($D$2:$D$288,0.2),2,D8&lt;_xlfn.PERCENTILE.INC($D$2:$D$288,0.2),1)</f>
        <v>5</v>
      </c>
      <c r="H8">
        <f t="shared" si="0"/>
        <v>13</v>
      </c>
      <c r="I8" t="str" cm="1">
        <f t="array" ref="I8">_xlfn.IFS(H8&gt;=13,"Best Customers",H8&gt;=10,"Loyal Customers",H8&gt;=7,"Potential Loyal Customers",H8&gt;=4,"Need Attention",TRUE,"At Risk")</f>
        <v>Best Customers</v>
      </c>
    </row>
    <row r="9" spans="1:9">
      <c r="A9" t="s">
        <v>439</v>
      </c>
      <c r="B9" s="4">
        <v>36.656990740739275</v>
      </c>
      <c r="C9">
        <v>6</v>
      </c>
      <c r="D9">
        <v>139.02000000000001</v>
      </c>
      <c r="E9" s="5" cm="1">
        <f t="array" ref="E9">_xlfn.IFS(B9&lt;=_xlfn.PERCENTILE.INC($B$2:$B$288,0.2),5,B9&lt;=_xlfn.PERCENTILE.INC($B$2:$B$288,0.4),4,B9&lt;=_xlfn.PERCENTILE.INC($B$2:$B$288,0.6),3,B9&lt;=_xlfn.PERCENTILE.INC($B$2:$B$288,0.8),2,B9&gt;_xlfn.PERCENTILE.INC($B$2:$B$288,0.8),1)</f>
        <v>5</v>
      </c>
      <c r="F9" cm="1">
        <f t="array" ref="F9">_xlfn.IFS(C9&gt;=_xlfn.PERCENTILE.INC($C$2:$C$288,0.8),5,C9&gt;=_xlfn.PERCENTILE.INC($C$2:$C$288,0.6),4,C9&gt;=_xlfn.PERCENTILE.INC($C$2:$C$288,0.4),3,C9&gt;=_xlfn.PERCENTILE.INC($C$2:$C$288,0.2),2,C9&lt;_xlfn.PERCENTILE.INC($C$2:$C$288,0.2),1)</f>
        <v>5</v>
      </c>
      <c r="G9" cm="1">
        <f t="array" ref="G9">_xlfn.IFS(D9&gt;=_xlfn.PERCENTILE.INC($D$2:$D$288,0.8),5,D9&gt;=_xlfn.PERCENTILE.INC($D$2:$D$288,0.6),4,D9&gt;=_xlfn.PERCENTILE.INC($D$2:$D$288,0.4),3,D9&gt;=_xlfn.PERCENTILE.INC($D$2:$D$288,0.2),2,D9&lt;_xlfn.PERCENTILE.INC($D$2:$D$288,0.2),1)</f>
        <v>5</v>
      </c>
      <c r="H9">
        <f t="shared" si="0"/>
        <v>15</v>
      </c>
      <c r="I9" t="str" cm="1">
        <f t="array" ref="I9">_xlfn.IFS(H9&gt;=13,"Best Customers",H9&gt;=10,"Loyal Customers",H9&gt;=7,"Potential Loyal Customers",H9&gt;=4,"Need Attention",TRUE,"At Risk")</f>
        <v>Best Customers</v>
      </c>
    </row>
    <row r="10" spans="1:9">
      <c r="A10" t="s">
        <v>15</v>
      </c>
      <c r="B10" s="4">
        <v>41.656990740739275</v>
      </c>
      <c r="C10">
        <v>4</v>
      </c>
      <c r="D10">
        <v>35.17</v>
      </c>
      <c r="E10" s="5" cm="1">
        <f t="array" ref="E10">_xlfn.IFS(B10&lt;=_xlfn.PERCENTILE.INC($B$2:$B$288,0.2),5,B10&lt;=_xlfn.PERCENTILE.INC($B$2:$B$288,0.4),4,B10&lt;=_xlfn.PERCENTILE.INC($B$2:$B$288,0.6),3,B10&lt;=_xlfn.PERCENTILE.INC($B$2:$B$288,0.8),2,B10&gt;_xlfn.PERCENTILE.INC($B$2:$B$288,0.8),1)</f>
        <v>4</v>
      </c>
      <c r="F10" cm="1">
        <f t="array" ref="F10">_xlfn.IFS(C10&gt;=_xlfn.PERCENTILE.INC($C$2:$C$288,0.8),5,C10&gt;=_xlfn.PERCENTILE.INC($C$2:$C$288,0.6),4,C10&gt;=_xlfn.PERCENTILE.INC($C$2:$C$288,0.4),3,C10&gt;=_xlfn.PERCENTILE.INC($C$2:$C$288,0.2),2,C10&lt;_xlfn.PERCENTILE.INC($C$2:$C$288,0.2),1)</f>
        <v>4</v>
      </c>
      <c r="G10" cm="1">
        <f t="array" ref="G10">_xlfn.IFS(D10&gt;=_xlfn.PERCENTILE.INC($D$2:$D$288,0.8),5,D10&gt;=_xlfn.PERCENTILE.INC($D$2:$D$288,0.6),4,D10&gt;=_xlfn.PERCENTILE.INC($D$2:$D$288,0.4),3,D10&gt;=_xlfn.PERCENTILE.INC($D$2:$D$288,0.2),2,D10&lt;_xlfn.PERCENTILE.INC($D$2:$D$288,0.2),1)</f>
        <v>2</v>
      </c>
      <c r="H10">
        <f t="shared" si="0"/>
        <v>10</v>
      </c>
      <c r="I10" t="str" cm="1">
        <f t="array" ref="I10">_xlfn.IFS(H10&gt;=13,"Best Customers",H10&gt;=10,"Loyal Customers",H10&gt;=7,"Potential Loyal Customers",H10&gt;=4,"Need Attention",TRUE,"At Risk")</f>
        <v>Loyal Customers</v>
      </c>
    </row>
    <row r="11" spans="1:9">
      <c r="A11" t="s">
        <v>192</v>
      </c>
      <c r="B11" s="4">
        <v>34.656990740739275</v>
      </c>
      <c r="C11">
        <v>6</v>
      </c>
      <c r="D11">
        <v>128.11000000000001</v>
      </c>
      <c r="E11" s="5" cm="1">
        <f t="array" ref="E11">_xlfn.IFS(B11&lt;=_xlfn.PERCENTILE.INC($B$2:$B$288,0.2),5,B11&lt;=_xlfn.PERCENTILE.INC($B$2:$B$288,0.4),4,B11&lt;=_xlfn.PERCENTILE.INC($B$2:$B$288,0.6),3,B11&lt;=_xlfn.PERCENTILE.INC($B$2:$B$288,0.8),2,B11&gt;_xlfn.PERCENTILE.INC($B$2:$B$288,0.8),1)</f>
        <v>5</v>
      </c>
      <c r="F11" cm="1">
        <f t="array" ref="F11">_xlfn.IFS(C11&gt;=_xlfn.PERCENTILE.INC($C$2:$C$288,0.8),5,C11&gt;=_xlfn.PERCENTILE.INC($C$2:$C$288,0.6),4,C11&gt;=_xlfn.PERCENTILE.INC($C$2:$C$288,0.4),3,C11&gt;=_xlfn.PERCENTILE.INC($C$2:$C$288,0.2),2,C11&lt;_xlfn.PERCENTILE.INC($C$2:$C$288,0.2),1)</f>
        <v>5</v>
      </c>
      <c r="G11" cm="1">
        <f t="array" ref="G11">_xlfn.IFS(D11&gt;=_xlfn.PERCENTILE.INC($D$2:$D$288,0.8),5,D11&gt;=_xlfn.PERCENTILE.INC($D$2:$D$288,0.6),4,D11&gt;=_xlfn.PERCENTILE.INC($D$2:$D$288,0.4),3,D11&gt;=_xlfn.PERCENTILE.INC($D$2:$D$288,0.2),2,D11&lt;_xlfn.PERCENTILE.INC($D$2:$D$288,0.2),1)</f>
        <v>5</v>
      </c>
      <c r="H11">
        <f t="shared" si="0"/>
        <v>15</v>
      </c>
      <c r="I11" t="str" cm="1">
        <f t="array" ref="I11">_xlfn.IFS(H11&gt;=13,"Best Customers",H11&gt;=10,"Loyal Customers",H11&gt;=7,"Potential Loyal Customers",H11&gt;=4,"Need Attention",TRUE,"At Risk")</f>
        <v>Best Customers</v>
      </c>
    </row>
    <row r="12" spans="1:9">
      <c r="A12" t="s">
        <v>560</v>
      </c>
      <c r="B12" s="4">
        <v>59.656990740739275</v>
      </c>
      <c r="C12">
        <v>9</v>
      </c>
      <c r="D12">
        <v>187.09000000000003</v>
      </c>
      <c r="E12" s="5" cm="1">
        <f t="array" ref="E12">_xlfn.IFS(B12&lt;=_xlfn.PERCENTILE.INC($B$2:$B$288,0.2),5,B12&lt;=_xlfn.PERCENTILE.INC($B$2:$B$288,0.4),4,B12&lt;=_xlfn.PERCENTILE.INC($B$2:$B$288,0.6),3,B12&lt;=_xlfn.PERCENTILE.INC($B$2:$B$288,0.8),2,B12&gt;_xlfn.PERCENTILE.INC($B$2:$B$288,0.8),1)</f>
        <v>4</v>
      </c>
      <c r="F12" cm="1">
        <f t="array" ref="F12">_xlfn.IFS(C12&gt;=_xlfn.PERCENTILE.INC($C$2:$C$288,0.8),5,C12&gt;=_xlfn.PERCENTILE.INC($C$2:$C$288,0.6),4,C12&gt;=_xlfn.PERCENTILE.INC($C$2:$C$288,0.4),3,C12&gt;=_xlfn.PERCENTILE.INC($C$2:$C$288,0.2),2,C12&lt;_xlfn.PERCENTILE.INC($C$2:$C$288,0.2),1)</f>
        <v>5</v>
      </c>
      <c r="G12" cm="1">
        <f t="array" ref="G12">_xlfn.IFS(D12&gt;=_xlfn.PERCENTILE.INC($D$2:$D$288,0.8),5,D12&gt;=_xlfn.PERCENTILE.INC($D$2:$D$288,0.6),4,D12&gt;=_xlfn.PERCENTILE.INC($D$2:$D$288,0.4),3,D12&gt;=_xlfn.PERCENTILE.INC($D$2:$D$288,0.2),2,D12&lt;_xlfn.PERCENTILE.INC($D$2:$D$288,0.2),1)</f>
        <v>5</v>
      </c>
      <c r="H12">
        <f t="shared" si="0"/>
        <v>14</v>
      </c>
      <c r="I12" t="str" cm="1">
        <f t="array" ref="I12">_xlfn.IFS(H12&gt;=13,"Best Customers",H12&gt;=10,"Loyal Customers",H12&gt;=7,"Potential Loyal Customers",H12&gt;=4,"Need Attention",TRUE,"At Risk")</f>
        <v>Best Customers</v>
      </c>
    </row>
    <row r="13" spans="1:9">
      <c r="A13" t="s">
        <v>24</v>
      </c>
      <c r="B13" s="4">
        <v>25.656990740739275</v>
      </c>
      <c r="C13">
        <v>2</v>
      </c>
      <c r="D13">
        <v>30.9</v>
      </c>
      <c r="E13" s="5" cm="1">
        <f t="array" ref="E13">_xlfn.IFS(B13&lt;=_xlfn.PERCENTILE.INC($B$2:$B$288,0.2),5,B13&lt;=_xlfn.PERCENTILE.INC($B$2:$B$288,0.4),4,B13&lt;=_xlfn.PERCENTILE.INC($B$2:$B$288,0.6),3,B13&lt;=_xlfn.PERCENTILE.INC($B$2:$B$288,0.8),2,B13&gt;_xlfn.PERCENTILE.INC($B$2:$B$288,0.8),1)</f>
        <v>5</v>
      </c>
      <c r="F13" cm="1">
        <f t="array" ref="F13">_xlfn.IFS(C13&gt;=_xlfn.PERCENTILE.INC($C$2:$C$288,0.8),5,C13&gt;=_xlfn.PERCENTILE.INC($C$2:$C$288,0.6),4,C13&gt;=_xlfn.PERCENTILE.INC($C$2:$C$288,0.4),3,C13&gt;=_xlfn.PERCENTILE.INC($C$2:$C$288,0.2),2,C13&lt;_xlfn.PERCENTILE.INC($C$2:$C$288,0.2),1)</f>
        <v>2</v>
      </c>
      <c r="G13" cm="1">
        <f t="array" ref="G13">_xlfn.IFS(D13&gt;=_xlfn.PERCENTILE.INC($D$2:$D$288,0.8),5,D13&gt;=_xlfn.PERCENTILE.INC($D$2:$D$288,0.6),4,D13&gt;=_xlfn.PERCENTILE.INC($D$2:$D$288,0.4),3,D13&gt;=_xlfn.PERCENTILE.INC($D$2:$D$288,0.2),2,D13&lt;_xlfn.PERCENTILE.INC($D$2:$D$288,0.2),1)</f>
        <v>2</v>
      </c>
      <c r="H13">
        <f t="shared" si="0"/>
        <v>9</v>
      </c>
      <c r="I13" t="str" cm="1">
        <f t="array" ref="I13">_xlfn.IFS(H13&gt;=13,"Best Customers",H13&gt;=10,"Loyal Customers",H13&gt;=7,"Potential Loyal Customers",H13&gt;=4,"Need Attention",TRUE,"At Risk")</f>
        <v>Potential Loyal Customers</v>
      </c>
    </row>
    <row r="14" spans="1:9">
      <c r="A14" t="s">
        <v>96</v>
      </c>
      <c r="B14" s="4">
        <v>84.656990740739275</v>
      </c>
      <c r="C14">
        <v>6</v>
      </c>
      <c r="D14">
        <v>132.01</v>
      </c>
      <c r="E14" s="5" cm="1">
        <f t="array" ref="E14">_xlfn.IFS(B14&lt;=_xlfn.PERCENTILE.INC($B$2:$B$288,0.2),5,B14&lt;=_xlfn.PERCENTILE.INC($B$2:$B$288,0.4),4,B14&lt;=_xlfn.PERCENTILE.INC($B$2:$B$288,0.6),3,B14&lt;=_xlfn.PERCENTILE.INC($B$2:$B$288,0.8),2,B14&gt;_xlfn.PERCENTILE.INC($B$2:$B$288,0.8),1)</f>
        <v>3</v>
      </c>
      <c r="F14" cm="1">
        <f t="array" ref="F14">_xlfn.IFS(C14&gt;=_xlfn.PERCENTILE.INC($C$2:$C$288,0.8),5,C14&gt;=_xlfn.PERCENTILE.INC($C$2:$C$288,0.6),4,C14&gt;=_xlfn.PERCENTILE.INC($C$2:$C$288,0.4),3,C14&gt;=_xlfn.PERCENTILE.INC($C$2:$C$288,0.2),2,C14&lt;_xlfn.PERCENTILE.INC($C$2:$C$288,0.2),1)</f>
        <v>5</v>
      </c>
      <c r="G14" cm="1">
        <f t="array" ref="G14">_xlfn.IFS(D14&gt;=_xlfn.PERCENTILE.INC($D$2:$D$288,0.8),5,D14&gt;=_xlfn.PERCENTILE.INC($D$2:$D$288,0.6),4,D14&gt;=_xlfn.PERCENTILE.INC($D$2:$D$288,0.4),3,D14&gt;=_xlfn.PERCENTILE.INC($D$2:$D$288,0.2),2,D14&lt;_xlfn.PERCENTILE.INC($D$2:$D$288,0.2),1)</f>
        <v>5</v>
      </c>
      <c r="H14">
        <f t="shared" si="0"/>
        <v>13</v>
      </c>
      <c r="I14" t="str" cm="1">
        <f t="array" ref="I14">_xlfn.IFS(H14&gt;=13,"Best Customers",H14&gt;=10,"Loyal Customers",H14&gt;=7,"Potential Loyal Customers",H14&gt;=4,"Need Attention",TRUE,"At Risk")</f>
        <v>Best Customers</v>
      </c>
    </row>
    <row r="15" spans="1:9">
      <c r="A15" t="s">
        <v>128</v>
      </c>
      <c r="B15" s="4">
        <v>130.65699074073927</v>
      </c>
      <c r="C15">
        <v>5</v>
      </c>
      <c r="D15">
        <v>58.190000000000005</v>
      </c>
      <c r="E15" s="5" cm="1">
        <f t="array" ref="E15">_xlfn.IFS(B15&lt;=_xlfn.PERCENTILE.INC($B$2:$B$288,0.2),5,B15&lt;=_xlfn.PERCENTILE.INC($B$2:$B$288,0.4),4,B15&lt;=_xlfn.PERCENTILE.INC($B$2:$B$288,0.6),3,B15&lt;=_xlfn.PERCENTILE.INC($B$2:$B$288,0.8),2,B15&gt;_xlfn.PERCENTILE.INC($B$2:$B$288,0.8),1)</f>
        <v>2</v>
      </c>
      <c r="F15" cm="1">
        <f t="array" ref="F15">_xlfn.IFS(C15&gt;=_xlfn.PERCENTILE.INC($C$2:$C$288,0.8),5,C15&gt;=_xlfn.PERCENTILE.INC($C$2:$C$288,0.6),4,C15&gt;=_xlfn.PERCENTILE.INC($C$2:$C$288,0.4),3,C15&gt;=_xlfn.PERCENTILE.INC($C$2:$C$288,0.2),2,C15&lt;_xlfn.PERCENTILE.INC($C$2:$C$288,0.2),1)</f>
        <v>5</v>
      </c>
      <c r="G15" cm="1">
        <f t="array" ref="G15">_xlfn.IFS(D15&gt;=_xlfn.PERCENTILE.INC($D$2:$D$288,0.8),5,D15&gt;=_xlfn.PERCENTILE.INC($D$2:$D$288,0.6),4,D15&gt;=_xlfn.PERCENTILE.INC($D$2:$D$288,0.4),3,D15&gt;=_xlfn.PERCENTILE.INC($D$2:$D$288,0.2),2,D15&lt;_xlfn.PERCENTILE.INC($D$2:$D$288,0.2),1)</f>
        <v>3</v>
      </c>
      <c r="H15">
        <f t="shared" si="0"/>
        <v>10</v>
      </c>
      <c r="I15" t="str" cm="1">
        <f t="array" ref="I15">_xlfn.IFS(H15&gt;=13,"Best Customers",H15&gt;=10,"Loyal Customers",H15&gt;=7,"Potential Loyal Customers",H15&gt;=4,"Need Attention",TRUE,"At Risk")</f>
        <v>Loyal Customers</v>
      </c>
    </row>
    <row r="16" spans="1:9">
      <c r="A16" t="s">
        <v>590</v>
      </c>
      <c r="B16" s="4">
        <v>192.65699074073927</v>
      </c>
      <c r="C16">
        <v>2</v>
      </c>
      <c r="D16">
        <v>39.26</v>
      </c>
      <c r="E16" s="5" cm="1">
        <f t="array" ref="E16">_xlfn.IFS(B16&lt;=_xlfn.PERCENTILE.INC($B$2:$B$288,0.2),5,B16&lt;=_xlfn.PERCENTILE.INC($B$2:$B$288,0.4),4,B16&lt;=_xlfn.PERCENTILE.INC($B$2:$B$288,0.6),3,B16&lt;=_xlfn.PERCENTILE.INC($B$2:$B$288,0.8),2,B16&gt;_xlfn.PERCENTILE.INC($B$2:$B$288,0.8),1)</f>
        <v>1</v>
      </c>
      <c r="F16" cm="1">
        <f t="array" ref="F16">_xlfn.IFS(C16&gt;=_xlfn.PERCENTILE.INC($C$2:$C$288,0.8),5,C16&gt;=_xlfn.PERCENTILE.INC($C$2:$C$288,0.6),4,C16&gt;=_xlfn.PERCENTILE.INC($C$2:$C$288,0.4),3,C16&gt;=_xlfn.PERCENTILE.INC($C$2:$C$288,0.2),2,C16&lt;_xlfn.PERCENTILE.INC($C$2:$C$288,0.2),1)</f>
        <v>2</v>
      </c>
      <c r="G16" cm="1">
        <f t="array" ref="G16">_xlfn.IFS(D16&gt;=_xlfn.PERCENTILE.INC($D$2:$D$288,0.8),5,D16&gt;=_xlfn.PERCENTILE.INC($D$2:$D$288,0.6),4,D16&gt;=_xlfn.PERCENTILE.INC($D$2:$D$288,0.4),3,D16&gt;=_xlfn.PERCENTILE.INC($D$2:$D$288,0.2),2,D16&lt;_xlfn.PERCENTILE.INC($D$2:$D$288,0.2),1)</f>
        <v>2</v>
      </c>
      <c r="H16">
        <f t="shared" si="0"/>
        <v>5</v>
      </c>
      <c r="I16" t="str" cm="1">
        <f t="array" ref="I16">_xlfn.IFS(H16&gt;=13,"Best Customers",H16&gt;=10,"Loyal Customers",H16&gt;=7,"Potential Loyal Customers",H16&gt;=4,"Need Attention",TRUE,"At Risk")</f>
        <v>Need Attention</v>
      </c>
    </row>
    <row r="17" spans="1:9">
      <c r="A17" t="s">
        <v>264</v>
      </c>
      <c r="B17" s="4">
        <v>109.65699074073927</v>
      </c>
      <c r="C17">
        <v>6</v>
      </c>
      <c r="D17">
        <v>90.009999999999991</v>
      </c>
      <c r="E17" s="5" cm="1">
        <f t="array" ref="E17">_xlfn.IFS(B17&lt;=_xlfn.PERCENTILE.INC($B$2:$B$288,0.2),5,B17&lt;=_xlfn.PERCENTILE.INC($B$2:$B$288,0.4),4,B17&lt;=_xlfn.PERCENTILE.INC($B$2:$B$288,0.6),3,B17&lt;=_xlfn.PERCENTILE.INC($B$2:$B$288,0.8),2,B17&gt;_xlfn.PERCENTILE.INC($B$2:$B$288,0.8),1)</f>
        <v>3</v>
      </c>
      <c r="F17" cm="1">
        <f t="array" ref="F17">_xlfn.IFS(C17&gt;=_xlfn.PERCENTILE.INC($C$2:$C$288,0.8),5,C17&gt;=_xlfn.PERCENTILE.INC($C$2:$C$288,0.6),4,C17&gt;=_xlfn.PERCENTILE.INC($C$2:$C$288,0.4),3,C17&gt;=_xlfn.PERCENTILE.INC($C$2:$C$288,0.2),2,C17&lt;_xlfn.PERCENTILE.INC($C$2:$C$288,0.2),1)</f>
        <v>5</v>
      </c>
      <c r="G17" cm="1">
        <f t="array" ref="G17">_xlfn.IFS(D17&gt;=_xlfn.PERCENTILE.INC($D$2:$D$288,0.8),5,D17&gt;=_xlfn.PERCENTILE.INC($D$2:$D$288,0.6),4,D17&gt;=_xlfn.PERCENTILE.INC($D$2:$D$288,0.4),3,D17&gt;=_xlfn.PERCENTILE.INC($D$2:$D$288,0.2),2,D17&lt;_xlfn.PERCENTILE.INC($D$2:$D$288,0.2),1)</f>
        <v>4</v>
      </c>
      <c r="H17">
        <f t="shared" si="0"/>
        <v>12</v>
      </c>
      <c r="I17" t="str" cm="1">
        <f t="array" ref="I17">_xlfn.IFS(H17&gt;=13,"Best Customers",H17&gt;=10,"Loyal Customers",H17&gt;=7,"Potential Loyal Customers",H17&gt;=4,"Need Attention",TRUE,"At Risk")</f>
        <v>Loyal Customers</v>
      </c>
    </row>
    <row r="18" spans="1:9">
      <c r="A18" t="s">
        <v>317</v>
      </c>
      <c r="B18" s="4">
        <v>149.65699074073927</v>
      </c>
      <c r="C18">
        <v>2</v>
      </c>
      <c r="D18">
        <v>68.16</v>
      </c>
      <c r="E18" s="5" cm="1">
        <f t="array" ref="E18">_xlfn.IFS(B18&lt;=_xlfn.PERCENTILE.INC($B$2:$B$288,0.2),5,B18&lt;=_xlfn.PERCENTILE.INC($B$2:$B$288,0.4),4,B18&lt;=_xlfn.PERCENTILE.INC($B$2:$B$288,0.6),3,B18&lt;=_xlfn.PERCENTILE.INC($B$2:$B$288,0.8),2,B18&gt;_xlfn.PERCENTILE.INC($B$2:$B$288,0.8),1)</f>
        <v>2</v>
      </c>
      <c r="F18" cm="1">
        <f t="array" ref="F18">_xlfn.IFS(C18&gt;=_xlfn.PERCENTILE.INC($C$2:$C$288,0.8),5,C18&gt;=_xlfn.PERCENTILE.INC($C$2:$C$288,0.6),4,C18&gt;=_xlfn.PERCENTILE.INC($C$2:$C$288,0.4),3,C18&gt;=_xlfn.PERCENTILE.INC($C$2:$C$288,0.2),2,C18&lt;_xlfn.PERCENTILE.INC($C$2:$C$288,0.2),1)</f>
        <v>2</v>
      </c>
      <c r="G18" cm="1">
        <f t="array" ref="G18">_xlfn.IFS(D18&gt;=_xlfn.PERCENTILE.INC($D$2:$D$288,0.8),5,D18&gt;=_xlfn.PERCENTILE.INC($D$2:$D$288,0.6),4,D18&gt;=_xlfn.PERCENTILE.INC($D$2:$D$288,0.4),3,D18&gt;=_xlfn.PERCENTILE.INC($D$2:$D$288,0.2),2,D18&lt;_xlfn.PERCENTILE.INC($D$2:$D$288,0.2),1)</f>
        <v>4</v>
      </c>
      <c r="H18">
        <f t="shared" si="0"/>
        <v>8</v>
      </c>
      <c r="I18" t="str" cm="1">
        <f t="array" ref="I18">_xlfn.IFS(H18&gt;=13,"Best Customers",H18&gt;=10,"Loyal Customers",H18&gt;=7,"Potential Loyal Customers",H18&gt;=4,"Need Attention",TRUE,"At Risk")</f>
        <v>Potential Loyal Customers</v>
      </c>
    </row>
    <row r="19" spans="1:9">
      <c r="A19" t="s">
        <v>315</v>
      </c>
      <c r="B19" s="4">
        <v>82.656990740739275</v>
      </c>
      <c r="C19">
        <v>3</v>
      </c>
      <c r="D19">
        <v>50.73</v>
      </c>
      <c r="E19" s="5" cm="1">
        <f t="array" ref="E19">_xlfn.IFS(B19&lt;=_xlfn.PERCENTILE.INC($B$2:$B$288,0.2),5,B19&lt;=_xlfn.PERCENTILE.INC($B$2:$B$288,0.4),4,B19&lt;=_xlfn.PERCENTILE.INC($B$2:$B$288,0.6),3,B19&lt;=_xlfn.PERCENTILE.INC($B$2:$B$288,0.8),2,B19&gt;_xlfn.PERCENTILE.INC($B$2:$B$288,0.8),1)</f>
        <v>3</v>
      </c>
      <c r="F19" cm="1">
        <f t="array" ref="F19">_xlfn.IFS(C19&gt;=_xlfn.PERCENTILE.INC($C$2:$C$288,0.8),5,C19&gt;=_xlfn.PERCENTILE.INC($C$2:$C$288,0.6),4,C19&gt;=_xlfn.PERCENTILE.INC($C$2:$C$288,0.4),3,C19&gt;=_xlfn.PERCENTILE.INC($C$2:$C$288,0.2),2,C19&lt;_xlfn.PERCENTILE.INC($C$2:$C$288,0.2),1)</f>
        <v>3</v>
      </c>
      <c r="G19" cm="1">
        <f t="array" ref="G19">_xlfn.IFS(D19&gt;=_xlfn.PERCENTILE.INC($D$2:$D$288,0.8),5,D19&gt;=_xlfn.PERCENTILE.INC($D$2:$D$288,0.6),4,D19&gt;=_xlfn.PERCENTILE.INC($D$2:$D$288,0.4),3,D19&gt;=_xlfn.PERCENTILE.INC($D$2:$D$288,0.2),2,D19&lt;_xlfn.PERCENTILE.INC($D$2:$D$288,0.2),1)</f>
        <v>3</v>
      </c>
      <c r="H19">
        <f t="shared" si="0"/>
        <v>9</v>
      </c>
      <c r="I19" t="str" cm="1">
        <f t="array" ref="I19">_xlfn.IFS(H19&gt;=13,"Best Customers",H19&gt;=10,"Loyal Customers",H19&gt;=7,"Potential Loyal Customers",H19&gt;=4,"Need Attention",TRUE,"At Risk")</f>
        <v>Potential Loyal Customers</v>
      </c>
    </row>
    <row r="20" spans="1:9">
      <c r="A20" t="s">
        <v>411</v>
      </c>
      <c r="B20" s="4">
        <v>109.65699074073927</v>
      </c>
      <c r="C20">
        <v>4</v>
      </c>
      <c r="D20">
        <v>52.31</v>
      </c>
      <c r="E20" s="5" cm="1">
        <f t="array" ref="E20">_xlfn.IFS(B20&lt;=_xlfn.PERCENTILE.INC($B$2:$B$288,0.2),5,B20&lt;=_xlfn.PERCENTILE.INC($B$2:$B$288,0.4),4,B20&lt;=_xlfn.PERCENTILE.INC($B$2:$B$288,0.6),3,B20&lt;=_xlfn.PERCENTILE.INC($B$2:$B$288,0.8),2,B20&gt;_xlfn.PERCENTILE.INC($B$2:$B$288,0.8),1)</f>
        <v>3</v>
      </c>
      <c r="F20" cm="1">
        <f t="array" ref="F20">_xlfn.IFS(C20&gt;=_xlfn.PERCENTILE.INC($C$2:$C$288,0.8),5,C20&gt;=_xlfn.PERCENTILE.INC($C$2:$C$288,0.6),4,C20&gt;=_xlfn.PERCENTILE.INC($C$2:$C$288,0.4),3,C20&gt;=_xlfn.PERCENTILE.INC($C$2:$C$288,0.2),2,C20&lt;_xlfn.PERCENTILE.INC($C$2:$C$288,0.2),1)</f>
        <v>4</v>
      </c>
      <c r="G20" cm="1">
        <f t="array" ref="G20">_xlfn.IFS(D20&gt;=_xlfn.PERCENTILE.INC($D$2:$D$288,0.8),5,D20&gt;=_xlfn.PERCENTILE.INC($D$2:$D$288,0.6),4,D20&gt;=_xlfn.PERCENTILE.INC($D$2:$D$288,0.4),3,D20&gt;=_xlfn.PERCENTILE.INC($D$2:$D$288,0.2),2,D20&lt;_xlfn.PERCENTILE.INC($D$2:$D$288,0.2),1)</f>
        <v>3</v>
      </c>
      <c r="H20">
        <f t="shared" si="0"/>
        <v>10</v>
      </c>
      <c r="I20" t="str" cm="1">
        <f t="array" ref="I20">_xlfn.IFS(H20&gt;=13,"Best Customers",H20&gt;=10,"Loyal Customers",H20&gt;=7,"Potential Loyal Customers",H20&gt;=4,"Need Attention",TRUE,"At Risk")</f>
        <v>Loyal Customers</v>
      </c>
    </row>
    <row r="21" spans="1:9">
      <c r="A21" t="s">
        <v>870</v>
      </c>
      <c r="B21" s="4">
        <v>143.65699074073927</v>
      </c>
      <c r="C21">
        <v>3</v>
      </c>
      <c r="D21">
        <v>57.05</v>
      </c>
      <c r="E21" s="5" cm="1">
        <f t="array" ref="E21">_xlfn.IFS(B21&lt;=_xlfn.PERCENTILE.INC($B$2:$B$288,0.2),5,B21&lt;=_xlfn.PERCENTILE.INC($B$2:$B$288,0.4),4,B21&lt;=_xlfn.PERCENTILE.INC($B$2:$B$288,0.6),3,B21&lt;=_xlfn.PERCENTILE.INC($B$2:$B$288,0.8),2,B21&gt;_xlfn.PERCENTILE.INC($B$2:$B$288,0.8),1)</f>
        <v>2</v>
      </c>
      <c r="F21" cm="1">
        <f t="array" ref="F21">_xlfn.IFS(C21&gt;=_xlfn.PERCENTILE.INC($C$2:$C$288,0.8),5,C21&gt;=_xlfn.PERCENTILE.INC($C$2:$C$288,0.6),4,C21&gt;=_xlfn.PERCENTILE.INC($C$2:$C$288,0.4),3,C21&gt;=_xlfn.PERCENTILE.INC($C$2:$C$288,0.2),2,C21&lt;_xlfn.PERCENTILE.INC($C$2:$C$288,0.2),1)</f>
        <v>3</v>
      </c>
      <c r="G21" cm="1">
        <f t="array" ref="G21">_xlfn.IFS(D21&gt;=_xlfn.PERCENTILE.INC($D$2:$D$288,0.8),5,D21&gt;=_xlfn.PERCENTILE.INC($D$2:$D$288,0.6),4,D21&gt;=_xlfn.PERCENTILE.INC($D$2:$D$288,0.4),3,D21&gt;=_xlfn.PERCENTILE.INC($D$2:$D$288,0.2),2,D21&lt;_xlfn.PERCENTILE.INC($D$2:$D$288,0.2),1)</f>
        <v>3</v>
      </c>
      <c r="H21">
        <f t="shared" si="0"/>
        <v>8</v>
      </c>
      <c r="I21" t="str" cm="1">
        <f t="array" ref="I21">_xlfn.IFS(H21&gt;=13,"Best Customers",H21&gt;=10,"Loyal Customers",H21&gt;=7,"Potential Loyal Customers",H21&gt;=4,"Need Attention",TRUE,"At Risk")</f>
        <v>Potential Loyal Customers</v>
      </c>
    </row>
    <row r="22" spans="1:9">
      <c r="A22" t="s">
        <v>828</v>
      </c>
      <c r="B22" s="4">
        <v>25.656990740739275</v>
      </c>
      <c r="C22">
        <v>3</v>
      </c>
      <c r="D22">
        <v>50.93</v>
      </c>
      <c r="E22" s="5" cm="1">
        <f t="array" ref="E22">_xlfn.IFS(B22&lt;=_xlfn.PERCENTILE.INC($B$2:$B$288,0.2),5,B22&lt;=_xlfn.PERCENTILE.INC($B$2:$B$288,0.4),4,B22&lt;=_xlfn.PERCENTILE.INC($B$2:$B$288,0.6),3,B22&lt;=_xlfn.PERCENTILE.INC($B$2:$B$288,0.8),2,B22&gt;_xlfn.PERCENTILE.INC($B$2:$B$288,0.8),1)</f>
        <v>5</v>
      </c>
      <c r="F22" cm="1">
        <f t="array" ref="F22">_xlfn.IFS(C22&gt;=_xlfn.PERCENTILE.INC($C$2:$C$288,0.8),5,C22&gt;=_xlfn.PERCENTILE.INC($C$2:$C$288,0.6),4,C22&gt;=_xlfn.PERCENTILE.INC($C$2:$C$288,0.4),3,C22&gt;=_xlfn.PERCENTILE.INC($C$2:$C$288,0.2),2,C22&lt;_xlfn.PERCENTILE.INC($C$2:$C$288,0.2),1)</f>
        <v>3</v>
      </c>
      <c r="G22" cm="1">
        <f t="array" ref="G22">_xlfn.IFS(D22&gt;=_xlfn.PERCENTILE.INC($D$2:$D$288,0.8),5,D22&gt;=_xlfn.PERCENTILE.INC($D$2:$D$288,0.6),4,D22&gt;=_xlfn.PERCENTILE.INC($D$2:$D$288,0.4),3,D22&gt;=_xlfn.PERCENTILE.INC($D$2:$D$288,0.2),2,D22&lt;_xlfn.PERCENTILE.INC($D$2:$D$288,0.2),1)</f>
        <v>3</v>
      </c>
      <c r="H22">
        <f t="shared" si="0"/>
        <v>11</v>
      </c>
      <c r="I22" t="str" cm="1">
        <f t="array" ref="I22">_xlfn.IFS(H22&gt;=13,"Best Customers",H22&gt;=10,"Loyal Customers",H22&gt;=7,"Potential Loyal Customers",H22&gt;=4,"Need Attention",TRUE,"At Risk")</f>
        <v>Loyal Customers</v>
      </c>
    </row>
    <row r="23" spans="1:9">
      <c r="A23" t="s">
        <v>104</v>
      </c>
      <c r="B23" s="4">
        <v>108.65699074073927</v>
      </c>
      <c r="C23">
        <v>3</v>
      </c>
      <c r="D23">
        <v>62.489999999999995</v>
      </c>
      <c r="E23" s="5" cm="1">
        <f t="array" ref="E23">_xlfn.IFS(B23&lt;=_xlfn.PERCENTILE.INC($B$2:$B$288,0.2),5,B23&lt;=_xlfn.PERCENTILE.INC($B$2:$B$288,0.4),4,B23&lt;=_xlfn.PERCENTILE.INC($B$2:$B$288,0.6),3,B23&lt;=_xlfn.PERCENTILE.INC($B$2:$B$288,0.8),2,B23&gt;_xlfn.PERCENTILE.INC($B$2:$B$288,0.8),1)</f>
        <v>3</v>
      </c>
      <c r="F23" cm="1">
        <f t="array" ref="F23">_xlfn.IFS(C23&gt;=_xlfn.PERCENTILE.INC($C$2:$C$288,0.8),5,C23&gt;=_xlfn.PERCENTILE.INC($C$2:$C$288,0.6),4,C23&gt;=_xlfn.PERCENTILE.INC($C$2:$C$288,0.4),3,C23&gt;=_xlfn.PERCENTILE.INC($C$2:$C$288,0.2),2,C23&lt;_xlfn.PERCENTILE.INC($C$2:$C$288,0.2),1)</f>
        <v>3</v>
      </c>
      <c r="G23" cm="1">
        <f t="array" ref="G23">_xlfn.IFS(D23&gt;=_xlfn.PERCENTILE.INC($D$2:$D$288,0.8),5,D23&gt;=_xlfn.PERCENTILE.INC($D$2:$D$288,0.6),4,D23&gt;=_xlfn.PERCENTILE.INC($D$2:$D$288,0.4),3,D23&gt;=_xlfn.PERCENTILE.INC($D$2:$D$288,0.2),2,D23&lt;_xlfn.PERCENTILE.INC($D$2:$D$288,0.2),1)</f>
        <v>4</v>
      </c>
      <c r="H23">
        <f t="shared" si="0"/>
        <v>10</v>
      </c>
      <c r="I23" t="str" cm="1">
        <f t="array" ref="I23">_xlfn.IFS(H23&gt;=13,"Best Customers",H23&gt;=10,"Loyal Customers",H23&gt;=7,"Potential Loyal Customers",H23&gt;=4,"Need Attention",TRUE,"At Risk")</f>
        <v>Loyal Customers</v>
      </c>
    </row>
    <row r="24" spans="1:9">
      <c r="A24" t="s">
        <v>902</v>
      </c>
      <c r="B24" s="4">
        <v>90.656990740739275</v>
      </c>
      <c r="C24">
        <v>2</v>
      </c>
      <c r="D24">
        <v>16.66</v>
      </c>
      <c r="E24" s="5" cm="1">
        <f t="array" ref="E24">_xlfn.IFS(B24&lt;=_xlfn.PERCENTILE.INC($B$2:$B$288,0.2),5,B24&lt;=_xlfn.PERCENTILE.INC($B$2:$B$288,0.4),4,B24&lt;=_xlfn.PERCENTILE.INC($B$2:$B$288,0.6),3,B24&lt;=_xlfn.PERCENTILE.INC($B$2:$B$288,0.8),2,B24&gt;_xlfn.PERCENTILE.INC($B$2:$B$288,0.8),1)</f>
        <v>3</v>
      </c>
      <c r="F24" cm="1">
        <f t="array" ref="F24">_xlfn.IFS(C24&gt;=_xlfn.PERCENTILE.INC($C$2:$C$288,0.8),5,C24&gt;=_xlfn.PERCENTILE.INC($C$2:$C$288,0.6),4,C24&gt;=_xlfn.PERCENTILE.INC($C$2:$C$288,0.4),3,C24&gt;=_xlfn.PERCENTILE.INC($C$2:$C$288,0.2),2,C24&lt;_xlfn.PERCENTILE.INC($C$2:$C$288,0.2),1)</f>
        <v>2</v>
      </c>
      <c r="G24" cm="1">
        <f t="array" ref="G24">_xlfn.IFS(D24&gt;=_xlfn.PERCENTILE.INC($D$2:$D$288,0.8),5,D24&gt;=_xlfn.PERCENTILE.INC($D$2:$D$288,0.6),4,D24&gt;=_xlfn.PERCENTILE.INC($D$2:$D$288,0.4),3,D24&gt;=_xlfn.PERCENTILE.INC($D$2:$D$288,0.2),2,D24&lt;_xlfn.PERCENTILE.INC($D$2:$D$288,0.2),1)</f>
        <v>1</v>
      </c>
      <c r="H24">
        <f t="shared" si="0"/>
        <v>6</v>
      </c>
      <c r="I24" t="str" cm="1">
        <f t="array" ref="I24">_xlfn.IFS(H24&gt;=13,"Best Customers",H24&gt;=10,"Loyal Customers",H24&gt;=7,"Potential Loyal Customers",H24&gt;=4,"Need Attention",TRUE,"At Risk")</f>
        <v>Need Attention</v>
      </c>
    </row>
    <row r="25" spans="1:9">
      <c r="A25" t="s">
        <v>256</v>
      </c>
      <c r="B25" s="4">
        <v>57.656990740739275</v>
      </c>
      <c r="C25">
        <v>6</v>
      </c>
      <c r="D25">
        <v>109.94</v>
      </c>
      <c r="E25" s="5" cm="1">
        <f t="array" ref="E25">_xlfn.IFS(B25&lt;=_xlfn.PERCENTILE.INC($B$2:$B$288,0.2),5,B25&lt;=_xlfn.PERCENTILE.INC($B$2:$B$288,0.4),4,B25&lt;=_xlfn.PERCENTILE.INC($B$2:$B$288,0.6),3,B25&lt;=_xlfn.PERCENTILE.INC($B$2:$B$288,0.8),2,B25&gt;_xlfn.PERCENTILE.INC($B$2:$B$288,0.8),1)</f>
        <v>4</v>
      </c>
      <c r="F25" cm="1">
        <f t="array" ref="F25">_xlfn.IFS(C25&gt;=_xlfn.PERCENTILE.INC($C$2:$C$288,0.8),5,C25&gt;=_xlfn.PERCENTILE.INC($C$2:$C$288,0.6),4,C25&gt;=_xlfn.PERCENTILE.INC($C$2:$C$288,0.4),3,C25&gt;=_xlfn.PERCENTILE.INC($C$2:$C$288,0.2),2,C25&lt;_xlfn.PERCENTILE.INC($C$2:$C$288,0.2),1)</f>
        <v>5</v>
      </c>
      <c r="G25" cm="1">
        <f t="array" ref="G25">_xlfn.IFS(D25&gt;=_xlfn.PERCENTILE.INC($D$2:$D$288,0.8),5,D25&gt;=_xlfn.PERCENTILE.INC($D$2:$D$288,0.6),4,D25&gt;=_xlfn.PERCENTILE.INC($D$2:$D$288,0.4),3,D25&gt;=_xlfn.PERCENTILE.INC($D$2:$D$288,0.2),2,D25&lt;_xlfn.PERCENTILE.INC($D$2:$D$288,0.2),1)</f>
        <v>5</v>
      </c>
      <c r="H25">
        <f t="shared" si="0"/>
        <v>14</v>
      </c>
      <c r="I25" t="str" cm="1">
        <f t="array" ref="I25">_xlfn.IFS(H25&gt;=13,"Best Customers",H25&gt;=10,"Loyal Customers",H25&gt;=7,"Potential Loyal Customers",H25&gt;=4,"Need Attention",TRUE,"At Risk")</f>
        <v>Best Customers</v>
      </c>
    </row>
    <row r="26" spans="1:9">
      <c r="A26" t="s">
        <v>585</v>
      </c>
      <c r="B26" s="4">
        <v>159.65699074073927</v>
      </c>
      <c r="C26">
        <v>4</v>
      </c>
      <c r="D26">
        <v>95.759999999999991</v>
      </c>
      <c r="E26" s="5" cm="1">
        <f t="array" ref="E26">_xlfn.IFS(B26&lt;=_xlfn.PERCENTILE.INC($B$2:$B$288,0.2),5,B26&lt;=_xlfn.PERCENTILE.INC($B$2:$B$288,0.4),4,B26&lt;=_xlfn.PERCENTILE.INC($B$2:$B$288,0.6),3,B26&lt;=_xlfn.PERCENTILE.INC($B$2:$B$288,0.8),2,B26&gt;_xlfn.PERCENTILE.INC($B$2:$B$288,0.8),1)</f>
        <v>2</v>
      </c>
      <c r="F26" cm="1">
        <f t="array" ref="F26">_xlfn.IFS(C26&gt;=_xlfn.PERCENTILE.INC($C$2:$C$288,0.8),5,C26&gt;=_xlfn.PERCENTILE.INC($C$2:$C$288,0.6),4,C26&gt;=_xlfn.PERCENTILE.INC($C$2:$C$288,0.4),3,C26&gt;=_xlfn.PERCENTILE.INC($C$2:$C$288,0.2),2,C26&lt;_xlfn.PERCENTILE.INC($C$2:$C$288,0.2),1)</f>
        <v>4</v>
      </c>
      <c r="G26" cm="1">
        <f t="array" ref="G26">_xlfn.IFS(D26&gt;=_xlfn.PERCENTILE.INC($D$2:$D$288,0.8),5,D26&gt;=_xlfn.PERCENTILE.INC($D$2:$D$288,0.6),4,D26&gt;=_xlfn.PERCENTILE.INC($D$2:$D$288,0.4),3,D26&gt;=_xlfn.PERCENTILE.INC($D$2:$D$288,0.2),2,D26&lt;_xlfn.PERCENTILE.INC($D$2:$D$288,0.2),1)</f>
        <v>5</v>
      </c>
      <c r="H26">
        <f t="shared" si="0"/>
        <v>11</v>
      </c>
      <c r="I26" t="str" cm="1">
        <f t="array" ref="I26">_xlfn.IFS(H26&gt;=13,"Best Customers",H26&gt;=10,"Loyal Customers",H26&gt;=7,"Potential Loyal Customers",H26&gt;=4,"Need Attention",TRUE,"At Risk")</f>
        <v>Loyal Customers</v>
      </c>
    </row>
    <row r="27" spans="1:9">
      <c r="A27" t="s">
        <v>479</v>
      </c>
      <c r="B27" s="4">
        <v>146.65699074073927</v>
      </c>
      <c r="C27">
        <v>5</v>
      </c>
      <c r="D27">
        <v>70.66</v>
      </c>
      <c r="E27" s="5" cm="1">
        <f t="array" ref="E27">_xlfn.IFS(B27&lt;=_xlfn.PERCENTILE.INC($B$2:$B$288,0.2),5,B27&lt;=_xlfn.PERCENTILE.INC($B$2:$B$288,0.4),4,B27&lt;=_xlfn.PERCENTILE.INC($B$2:$B$288,0.6),3,B27&lt;=_xlfn.PERCENTILE.INC($B$2:$B$288,0.8),2,B27&gt;_xlfn.PERCENTILE.INC($B$2:$B$288,0.8),1)</f>
        <v>2</v>
      </c>
      <c r="F27" cm="1">
        <f t="array" ref="F27">_xlfn.IFS(C27&gt;=_xlfn.PERCENTILE.INC($C$2:$C$288,0.8),5,C27&gt;=_xlfn.PERCENTILE.INC($C$2:$C$288,0.6),4,C27&gt;=_xlfn.PERCENTILE.INC($C$2:$C$288,0.4),3,C27&gt;=_xlfn.PERCENTILE.INC($C$2:$C$288,0.2),2,C27&lt;_xlfn.PERCENTILE.INC($C$2:$C$288,0.2),1)</f>
        <v>5</v>
      </c>
      <c r="G27" cm="1">
        <f t="array" ref="G27">_xlfn.IFS(D27&gt;=_xlfn.PERCENTILE.INC($D$2:$D$288,0.8),5,D27&gt;=_xlfn.PERCENTILE.INC($D$2:$D$288,0.6),4,D27&gt;=_xlfn.PERCENTILE.INC($D$2:$D$288,0.4),3,D27&gt;=_xlfn.PERCENTILE.INC($D$2:$D$288,0.2),2,D27&lt;_xlfn.PERCENTILE.INC($D$2:$D$288,0.2),1)</f>
        <v>4</v>
      </c>
      <c r="H27">
        <f t="shared" si="0"/>
        <v>11</v>
      </c>
      <c r="I27" t="str" cm="1">
        <f t="array" ref="I27">_xlfn.IFS(H27&gt;=13,"Best Customers",H27&gt;=10,"Loyal Customers",H27&gt;=7,"Potential Loyal Customers",H27&gt;=4,"Need Attention",TRUE,"At Risk")</f>
        <v>Loyal Customers</v>
      </c>
    </row>
    <row r="28" spans="1:9">
      <c r="A28" t="s">
        <v>1065</v>
      </c>
      <c r="B28" s="4">
        <v>131.65699074073927</v>
      </c>
      <c r="C28">
        <v>1</v>
      </c>
      <c r="D28">
        <v>4.8600000000000003</v>
      </c>
      <c r="E28" s="5" cm="1">
        <f t="array" ref="E28">_xlfn.IFS(B28&lt;=_xlfn.PERCENTILE.INC($B$2:$B$288,0.2),5,B28&lt;=_xlfn.PERCENTILE.INC($B$2:$B$288,0.4),4,B28&lt;=_xlfn.PERCENTILE.INC($B$2:$B$288,0.6),3,B28&lt;=_xlfn.PERCENTILE.INC($B$2:$B$288,0.8),2,B28&gt;_xlfn.PERCENTILE.INC($B$2:$B$288,0.8),1)</f>
        <v>2</v>
      </c>
      <c r="F28" cm="1">
        <f t="array" ref="F28">_xlfn.IFS(C28&gt;=_xlfn.PERCENTILE.INC($C$2:$C$288,0.8),5,C28&gt;=_xlfn.PERCENTILE.INC($C$2:$C$288,0.6),4,C28&gt;=_xlfn.PERCENTILE.INC($C$2:$C$288,0.4),3,C28&gt;=_xlfn.PERCENTILE.INC($C$2:$C$288,0.2),2,C28&lt;_xlfn.PERCENTILE.INC($C$2:$C$288,0.2),1)</f>
        <v>1</v>
      </c>
      <c r="G28" cm="1">
        <f t="array" ref="G28">_xlfn.IFS(D28&gt;=_xlfn.PERCENTILE.INC($D$2:$D$288,0.8),5,D28&gt;=_xlfn.PERCENTILE.INC($D$2:$D$288,0.6),4,D28&gt;=_xlfn.PERCENTILE.INC($D$2:$D$288,0.4),3,D28&gt;=_xlfn.PERCENTILE.INC($D$2:$D$288,0.2),2,D28&lt;_xlfn.PERCENTILE.INC($D$2:$D$288,0.2),1)</f>
        <v>1</v>
      </c>
      <c r="H28">
        <f t="shared" si="0"/>
        <v>4</v>
      </c>
      <c r="I28" t="str" cm="1">
        <f t="array" ref="I28">_xlfn.IFS(H28&gt;=13,"Best Customers",H28&gt;=10,"Loyal Customers",H28&gt;=7,"Potential Loyal Customers",H28&gt;=4,"Need Attention",TRUE,"At Risk")</f>
        <v>Need Attention</v>
      </c>
    </row>
    <row r="29" spans="1:9">
      <c r="A29" t="s">
        <v>225</v>
      </c>
      <c r="B29" s="4">
        <v>78.656990740739275</v>
      </c>
      <c r="C29">
        <v>6</v>
      </c>
      <c r="D29">
        <v>130.92000000000002</v>
      </c>
      <c r="E29" s="5" cm="1">
        <f t="array" ref="E29">_xlfn.IFS(B29&lt;=_xlfn.PERCENTILE.INC($B$2:$B$288,0.2),5,B29&lt;=_xlfn.PERCENTILE.INC($B$2:$B$288,0.4),4,B29&lt;=_xlfn.PERCENTILE.INC($B$2:$B$288,0.6),3,B29&lt;=_xlfn.PERCENTILE.INC($B$2:$B$288,0.8),2,B29&gt;_xlfn.PERCENTILE.INC($B$2:$B$288,0.8),1)</f>
        <v>3</v>
      </c>
      <c r="F29" cm="1">
        <f t="array" ref="F29">_xlfn.IFS(C29&gt;=_xlfn.PERCENTILE.INC($C$2:$C$288,0.8),5,C29&gt;=_xlfn.PERCENTILE.INC($C$2:$C$288,0.6),4,C29&gt;=_xlfn.PERCENTILE.INC($C$2:$C$288,0.4),3,C29&gt;=_xlfn.PERCENTILE.INC($C$2:$C$288,0.2),2,C29&lt;_xlfn.PERCENTILE.INC($C$2:$C$288,0.2),1)</f>
        <v>5</v>
      </c>
      <c r="G29" cm="1">
        <f t="array" ref="G29">_xlfn.IFS(D29&gt;=_xlfn.PERCENTILE.INC($D$2:$D$288,0.8),5,D29&gt;=_xlfn.PERCENTILE.INC($D$2:$D$288,0.6),4,D29&gt;=_xlfn.PERCENTILE.INC($D$2:$D$288,0.4),3,D29&gt;=_xlfn.PERCENTILE.INC($D$2:$D$288,0.2),2,D29&lt;_xlfn.PERCENTILE.INC($D$2:$D$288,0.2),1)</f>
        <v>5</v>
      </c>
      <c r="H29">
        <f t="shared" si="0"/>
        <v>13</v>
      </c>
      <c r="I29" t="str" cm="1">
        <f t="array" ref="I29">_xlfn.IFS(H29&gt;=13,"Best Customers",H29&gt;=10,"Loyal Customers",H29&gt;=7,"Potential Loyal Customers",H29&gt;=4,"Need Attention",TRUE,"At Risk")</f>
        <v>Best Customers</v>
      </c>
    </row>
    <row r="30" spans="1:9">
      <c r="A30" t="s">
        <v>784</v>
      </c>
      <c r="B30" s="4">
        <v>289.65699074073927</v>
      </c>
      <c r="C30">
        <v>1</v>
      </c>
      <c r="D30">
        <v>9.42</v>
      </c>
      <c r="E30" s="5" cm="1">
        <f t="array" ref="E30">_xlfn.IFS(B30&lt;=_xlfn.PERCENTILE.INC($B$2:$B$288,0.2),5,B30&lt;=_xlfn.PERCENTILE.INC($B$2:$B$288,0.4),4,B30&lt;=_xlfn.PERCENTILE.INC($B$2:$B$288,0.6),3,B30&lt;=_xlfn.PERCENTILE.INC($B$2:$B$288,0.8),2,B30&gt;_xlfn.PERCENTILE.INC($B$2:$B$288,0.8),1)</f>
        <v>1</v>
      </c>
      <c r="F30" cm="1">
        <f t="array" ref="F30">_xlfn.IFS(C30&gt;=_xlfn.PERCENTILE.INC($C$2:$C$288,0.8),5,C30&gt;=_xlfn.PERCENTILE.INC($C$2:$C$288,0.6),4,C30&gt;=_xlfn.PERCENTILE.INC($C$2:$C$288,0.4),3,C30&gt;=_xlfn.PERCENTILE.INC($C$2:$C$288,0.2),2,C30&lt;_xlfn.PERCENTILE.INC($C$2:$C$288,0.2),1)</f>
        <v>1</v>
      </c>
      <c r="G30" cm="1">
        <f t="array" ref="G30">_xlfn.IFS(D30&gt;=_xlfn.PERCENTILE.INC($D$2:$D$288,0.8),5,D30&gt;=_xlfn.PERCENTILE.INC($D$2:$D$288,0.6),4,D30&gt;=_xlfn.PERCENTILE.INC($D$2:$D$288,0.4),3,D30&gt;=_xlfn.PERCENTILE.INC($D$2:$D$288,0.2),2,D30&lt;_xlfn.PERCENTILE.INC($D$2:$D$288,0.2),1)</f>
        <v>1</v>
      </c>
      <c r="H30">
        <f t="shared" si="0"/>
        <v>3</v>
      </c>
      <c r="I30" t="str" cm="1">
        <f t="array" ref="I30">_xlfn.IFS(H30&gt;=13,"Best Customers",H30&gt;=10,"Loyal Customers",H30&gt;=7,"Potential Loyal Customers",H30&gt;=4,"Need Attention",TRUE,"At Risk")</f>
        <v>At Risk</v>
      </c>
    </row>
    <row r="31" spans="1:9">
      <c r="A31" t="s">
        <v>307</v>
      </c>
      <c r="B31" s="4">
        <v>151.65699074073927</v>
      </c>
      <c r="C31">
        <v>2</v>
      </c>
      <c r="D31">
        <v>26.84</v>
      </c>
      <c r="E31" s="5" cm="1">
        <f t="array" ref="E31">_xlfn.IFS(B31&lt;=_xlfn.PERCENTILE.INC($B$2:$B$288,0.2),5,B31&lt;=_xlfn.PERCENTILE.INC($B$2:$B$288,0.4),4,B31&lt;=_xlfn.PERCENTILE.INC($B$2:$B$288,0.6),3,B31&lt;=_xlfn.PERCENTILE.INC($B$2:$B$288,0.8),2,B31&gt;_xlfn.PERCENTILE.INC($B$2:$B$288,0.8),1)</f>
        <v>2</v>
      </c>
      <c r="F31" cm="1">
        <f t="array" ref="F31">_xlfn.IFS(C31&gt;=_xlfn.PERCENTILE.INC($C$2:$C$288,0.8),5,C31&gt;=_xlfn.PERCENTILE.INC($C$2:$C$288,0.6),4,C31&gt;=_xlfn.PERCENTILE.INC($C$2:$C$288,0.4),3,C31&gt;=_xlfn.PERCENTILE.INC($C$2:$C$288,0.2),2,C31&lt;_xlfn.PERCENTILE.INC($C$2:$C$288,0.2),1)</f>
        <v>2</v>
      </c>
      <c r="G31" cm="1">
        <f t="array" ref="G31">_xlfn.IFS(D31&gt;=_xlfn.PERCENTILE.INC($D$2:$D$288,0.8),5,D31&gt;=_xlfn.PERCENTILE.INC($D$2:$D$288,0.6),4,D31&gt;=_xlfn.PERCENTILE.INC($D$2:$D$288,0.4),3,D31&gt;=_xlfn.PERCENTILE.INC($D$2:$D$288,0.2),2,D31&lt;_xlfn.PERCENTILE.INC($D$2:$D$288,0.2),1)</f>
        <v>2</v>
      </c>
      <c r="H31">
        <f t="shared" si="0"/>
        <v>6</v>
      </c>
      <c r="I31" t="str" cm="1">
        <f t="array" ref="I31">_xlfn.IFS(H31&gt;=13,"Best Customers",H31&gt;=10,"Loyal Customers",H31&gt;=7,"Potential Loyal Customers",H31&gt;=4,"Need Attention",TRUE,"At Risk")</f>
        <v>Need Attention</v>
      </c>
    </row>
    <row r="32" spans="1:9">
      <c r="A32" t="s">
        <v>843</v>
      </c>
      <c r="B32" s="4">
        <v>43.656990740739275</v>
      </c>
      <c r="C32">
        <v>1</v>
      </c>
      <c r="D32">
        <v>5.71</v>
      </c>
      <c r="E32" s="5" cm="1">
        <f t="array" ref="E32">_xlfn.IFS(B32&lt;=_xlfn.PERCENTILE.INC($B$2:$B$288,0.2),5,B32&lt;=_xlfn.PERCENTILE.INC($B$2:$B$288,0.4),4,B32&lt;=_xlfn.PERCENTILE.INC($B$2:$B$288,0.6),3,B32&lt;=_xlfn.PERCENTILE.INC($B$2:$B$288,0.8),2,B32&gt;_xlfn.PERCENTILE.INC($B$2:$B$288,0.8),1)</f>
        <v>4</v>
      </c>
      <c r="F32" cm="1">
        <f t="array" ref="F32">_xlfn.IFS(C32&gt;=_xlfn.PERCENTILE.INC($C$2:$C$288,0.8),5,C32&gt;=_xlfn.PERCENTILE.INC($C$2:$C$288,0.6),4,C32&gt;=_xlfn.PERCENTILE.INC($C$2:$C$288,0.4),3,C32&gt;=_xlfn.PERCENTILE.INC($C$2:$C$288,0.2),2,C32&lt;_xlfn.PERCENTILE.INC($C$2:$C$288,0.2),1)</f>
        <v>1</v>
      </c>
      <c r="G32" cm="1">
        <f t="array" ref="G32">_xlfn.IFS(D32&gt;=_xlfn.PERCENTILE.INC($D$2:$D$288,0.8),5,D32&gt;=_xlfn.PERCENTILE.INC($D$2:$D$288,0.6),4,D32&gt;=_xlfn.PERCENTILE.INC($D$2:$D$288,0.4),3,D32&gt;=_xlfn.PERCENTILE.INC($D$2:$D$288,0.2),2,D32&lt;_xlfn.PERCENTILE.INC($D$2:$D$288,0.2),1)</f>
        <v>1</v>
      </c>
      <c r="H32">
        <f t="shared" si="0"/>
        <v>6</v>
      </c>
      <c r="I32" t="str" cm="1">
        <f t="array" ref="I32">_xlfn.IFS(H32&gt;=13,"Best Customers",H32&gt;=10,"Loyal Customers",H32&gt;=7,"Potential Loyal Customers",H32&gt;=4,"Need Attention",TRUE,"At Risk")</f>
        <v>Need Attention</v>
      </c>
    </row>
    <row r="33" spans="1:9">
      <c r="A33" t="s">
        <v>471</v>
      </c>
      <c r="B33" s="4">
        <v>230.65699074073927</v>
      </c>
      <c r="C33">
        <v>2</v>
      </c>
      <c r="D33">
        <v>15.89</v>
      </c>
      <c r="E33" s="5" cm="1">
        <f t="array" ref="E33">_xlfn.IFS(B33&lt;=_xlfn.PERCENTILE.INC($B$2:$B$288,0.2),5,B33&lt;=_xlfn.PERCENTILE.INC($B$2:$B$288,0.4),4,B33&lt;=_xlfn.PERCENTILE.INC($B$2:$B$288,0.6),3,B33&lt;=_xlfn.PERCENTILE.INC($B$2:$B$288,0.8),2,B33&gt;_xlfn.PERCENTILE.INC($B$2:$B$288,0.8),1)</f>
        <v>1</v>
      </c>
      <c r="F33" cm="1">
        <f t="array" ref="F33">_xlfn.IFS(C33&gt;=_xlfn.PERCENTILE.INC($C$2:$C$288,0.8),5,C33&gt;=_xlfn.PERCENTILE.INC($C$2:$C$288,0.6),4,C33&gt;=_xlfn.PERCENTILE.INC($C$2:$C$288,0.4),3,C33&gt;=_xlfn.PERCENTILE.INC($C$2:$C$288,0.2),2,C33&lt;_xlfn.PERCENTILE.INC($C$2:$C$288,0.2),1)</f>
        <v>2</v>
      </c>
      <c r="G33" cm="1">
        <f t="array" ref="G33">_xlfn.IFS(D33&gt;=_xlfn.PERCENTILE.INC($D$2:$D$288,0.8),5,D33&gt;=_xlfn.PERCENTILE.INC($D$2:$D$288,0.6),4,D33&gt;=_xlfn.PERCENTILE.INC($D$2:$D$288,0.4),3,D33&gt;=_xlfn.PERCENTILE.INC($D$2:$D$288,0.2),2,D33&lt;_xlfn.PERCENTILE.INC($D$2:$D$288,0.2),1)</f>
        <v>1</v>
      </c>
      <c r="H33">
        <f t="shared" si="0"/>
        <v>4</v>
      </c>
      <c r="I33" t="str" cm="1">
        <f t="array" ref="I33">_xlfn.IFS(H33&gt;=13,"Best Customers",H33&gt;=10,"Loyal Customers",H33&gt;=7,"Potential Loyal Customers",H33&gt;=4,"Need Attention",TRUE,"At Risk")</f>
        <v>Need Attention</v>
      </c>
    </row>
    <row r="34" spans="1:9">
      <c r="A34" t="s">
        <v>54</v>
      </c>
      <c r="B34" s="4">
        <v>190.65699074073927</v>
      </c>
      <c r="C34">
        <v>3</v>
      </c>
      <c r="D34">
        <v>58.38</v>
      </c>
      <c r="E34" s="5" cm="1">
        <f t="array" ref="E34">_xlfn.IFS(B34&lt;=_xlfn.PERCENTILE.INC($B$2:$B$288,0.2),5,B34&lt;=_xlfn.PERCENTILE.INC($B$2:$B$288,0.4),4,B34&lt;=_xlfn.PERCENTILE.INC($B$2:$B$288,0.6),3,B34&lt;=_xlfn.PERCENTILE.INC($B$2:$B$288,0.8),2,B34&gt;_xlfn.PERCENTILE.INC($B$2:$B$288,0.8),1)</f>
        <v>1</v>
      </c>
      <c r="F34" cm="1">
        <f t="array" ref="F34">_xlfn.IFS(C34&gt;=_xlfn.PERCENTILE.INC($C$2:$C$288,0.8),5,C34&gt;=_xlfn.PERCENTILE.INC($C$2:$C$288,0.6),4,C34&gt;=_xlfn.PERCENTILE.INC($C$2:$C$288,0.4),3,C34&gt;=_xlfn.PERCENTILE.INC($C$2:$C$288,0.2),2,C34&lt;_xlfn.PERCENTILE.INC($C$2:$C$288,0.2),1)</f>
        <v>3</v>
      </c>
      <c r="G34" cm="1">
        <f t="array" ref="G34">_xlfn.IFS(D34&gt;=_xlfn.PERCENTILE.INC($D$2:$D$288,0.8),5,D34&gt;=_xlfn.PERCENTILE.INC($D$2:$D$288,0.6),4,D34&gt;=_xlfn.PERCENTILE.INC($D$2:$D$288,0.4),3,D34&gt;=_xlfn.PERCENTILE.INC($D$2:$D$288,0.2),2,D34&lt;_xlfn.PERCENTILE.INC($D$2:$D$288,0.2),1)</f>
        <v>3</v>
      </c>
      <c r="H34">
        <f t="shared" si="0"/>
        <v>7</v>
      </c>
      <c r="I34" t="str" cm="1">
        <f t="array" ref="I34">_xlfn.IFS(H34&gt;=13,"Best Customers",H34&gt;=10,"Loyal Customers",H34&gt;=7,"Potential Loyal Customers",H34&gt;=4,"Need Attention",TRUE,"At Risk")</f>
        <v>Potential Loyal Customers</v>
      </c>
    </row>
    <row r="35" spans="1:9">
      <c r="A35" t="s">
        <v>393</v>
      </c>
      <c r="B35" s="4">
        <v>32.656990740739275</v>
      </c>
      <c r="C35">
        <v>3</v>
      </c>
      <c r="D35">
        <v>72.06</v>
      </c>
      <c r="E35" s="5" cm="1">
        <f t="array" ref="E35">_xlfn.IFS(B35&lt;=_xlfn.PERCENTILE.INC($B$2:$B$288,0.2),5,B35&lt;=_xlfn.PERCENTILE.INC($B$2:$B$288,0.4),4,B35&lt;=_xlfn.PERCENTILE.INC($B$2:$B$288,0.6),3,B35&lt;=_xlfn.PERCENTILE.INC($B$2:$B$288,0.8),2,B35&gt;_xlfn.PERCENTILE.INC($B$2:$B$288,0.8),1)</f>
        <v>5</v>
      </c>
      <c r="F35" cm="1">
        <f t="array" ref="F35">_xlfn.IFS(C35&gt;=_xlfn.PERCENTILE.INC($C$2:$C$288,0.8),5,C35&gt;=_xlfn.PERCENTILE.INC($C$2:$C$288,0.6),4,C35&gt;=_xlfn.PERCENTILE.INC($C$2:$C$288,0.4),3,C35&gt;=_xlfn.PERCENTILE.INC($C$2:$C$288,0.2),2,C35&lt;_xlfn.PERCENTILE.INC($C$2:$C$288,0.2),1)</f>
        <v>3</v>
      </c>
      <c r="G35" cm="1">
        <f t="array" ref="G35">_xlfn.IFS(D35&gt;=_xlfn.PERCENTILE.INC($D$2:$D$288,0.8),5,D35&gt;=_xlfn.PERCENTILE.INC($D$2:$D$288,0.6),4,D35&gt;=_xlfn.PERCENTILE.INC($D$2:$D$288,0.4),3,D35&gt;=_xlfn.PERCENTILE.INC($D$2:$D$288,0.2),2,D35&lt;_xlfn.PERCENTILE.INC($D$2:$D$288,0.2),1)</f>
        <v>4</v>
      </c>
      <c r="H35">
        <f t="shared" si="0"/>
        <v>12</v>
      </c>
      <c r="I35" t="str" cm="1">
        <f t="array" ref="I35">_xlfn.IFS(H35&gt;=13,"Best Customers",H35&gt;=10,"Loyal Customers",H35&gt;=7,"Potential Loyal Customers",H35&gt;=4,"Need Attention",TRUE,"At Risk")</f>
        <v>Loyal Customers</v>
      </c>
    </row>
    <row r="36" spans="1:9">
      <c r="A36" t="s">
        <v>742</v>
      </c>
      <c r="B36" s="4">
        <v>93.656990740739275</v>
      </c>
      <c r="C36">
        <v>3</v>
      </c>
      <c r="D36">
        <v>40.36</v>
      </c>
      <c r="E36" s="5" cm="1">
        <f t="array" ref="E36">_xlfn.IFS(B36&lt;=_xlfn.PERCENTILE.INC($B$2:$B$288,0.2),5,B36&lt;=_xlfn.PERCENTILE.INC($B$2:$B$288,0.4),4,B36&lt;=_xlfn.PERCENTILE.INC($B$2:$B$288,0.6),3,B36&lt;=_xlfn.PERCENTILE.INC($B$2:$B$288,0.8),2,B36&gt;_xlfn.PERCENTILE.INC($B$2:$B$288,0.8),1)</f>
        <v>3</v>
      </c>
      <c r="F36" cm="1">
        <f t="array" ref="F36">_xlfn.IFS(C36&gt;=_xlfn.PERCENTILE.INC($C$2:$C$288,0.8),5,C36&gt;=_xlfn.PERCENTILE.INC($C$2:$C$288,0.6),4,C36&gt;=_xlfn.PERCENTILE.INC($C$2:$C$288,0.4),3,C36&gt;=_xlfn.PERCENTILE.INC($C$2:$C$288,0.2),2,C36&lt;_xlfn.PERCENTILE.INC($C$2:$C$288,0.2),1)</f>
        <v>3</v>
      </c>
      <c r="G36" cm="1">
        <f t="array" ref="G36">_xlfn.IFS(D36&gt;=_xlfn.PERCENTILE.INC($D$2:$D$288,0.8),5,D36&gt;=_xlfn.PERCENTILE.INC($D$2:$D$288,0.6),4,D36&gt;=_xlfn.PERCENTILE.INC($D$2:$D$288,0.4),3,D36&gt;=_xlfn.PERCENTILE.INC($D$2:$D$288,0.2),2,D36&lt;_xlfn.PERCENTILE.INC($D$2:$D$288,0.2),1)</f>
        <v>2</v>
      </c>
      <c r="H36">
        <f t="shared" si="0"/>
        <v>8</v>
      </c>
      <c r="I36" t="str" cm="1">
        <f t="array" ref="I36">_xlfn.IFS(H36&gt;=13,"Best Customers",H36&gt;=10,"Loyal Customers",H36&gt;=7,"Potential Loyal Customers",H36&gt;=4,"Need Attention",TRUE,"At Risk")</f>
        <v>Potential Loyal Customers</v>
      </c>
    </row>
    <row r="37" spans="1:9">
      <c r="A37" t="s">
        <v>39</v>
      </c>
      <c r="B37" s="4">
        <v>72.656990740739275</v>
      </c>
      <c r="C37">
        <v>4</v>
      </c>
      <c r="D37">
        <v>44.35</v>
      </c>
      <c r="E37" s="5" cm="1">
        <f t="array" ref="E37">_xlfn.IFS(B37&lt;=_xlfn.PERCENTILE.INC($B$2:$B$288,0.2),5,B37&lt;=_xlfn.PERCENTILE.INC($B$2:$B$288,0.4),4,B37&lt;=_xlfn.PERCENTILE.INC($B$2:$B$288,0.6),3,B37&lt;=_xlfn.PERCENTILE.INC($B$2:$B$288,0.8),2,B37&gt;_xlfn.PERCENTILE.INC($B$2:$B$288,0.8),1)</f>
        <v>3</v>
      </c>
      <c r="F37" cm="1">
        <f t="array" ref="F37">_xlfn.IFS(C37&gt;=_xlfn.PERCENTILE.INC($C$2:$C$288,0.8),5,C37&gt;=_xlfn.PERCENTILE.INC($C$2:$C$288,0.6),4,C37&gt;=_xlfn.PERCENTILE.INC($C$2:$C$288,0.4),3,C37&gt;=_xlfn.PERCENTILE.INC($C$2:$C$288,0.2),2,C37&lt;_xlfn.PERCENTILE.INC($C$2:$C$288,0.2),1)</f>
        <v>4</v>
      </c>
      <c r="G37" cm="1">
        <f t="array" ref="G37">_xlfn.IFS(D37&gt;=_xlfn.PERCENTILE.INC($D$2:$D$288,0.8),5,D37&gt;=_xlfn.PERCENTILE.INC($D$2:$D$288,0.6),4,D37&gt;=_xlfn.PERCENTILE.INC($D$2:$D$288,0.4),3,D37&gt;=_xlfn.PERCENTILE.INC($D$2:$D$288,0.2),2,D37&lt;_xlfn.PERCENTILE.INC($D$2:$D$288,0.2),1)</f>
        <v>2</v>
      </c>
      <c r="H37">
        <f t="shared" si="0"/>
        <v>9</v>
      </c>
      <c r="I37" t="str" cm="1">
        <f t="array" ref="I37">_xlfn.IFS(H37&gt;=13,"Best Customers",H37&gt;=10,"Loyal Customers",H37&gt;=7,"Potential Loyal Customers",H37&gt;=4,"Need Attention",TRUE,"At Risk")</f>
        <v>Potential Loyal Customers</v>
      </c>
    </row>
    <row r="38" spans="1:9">
      <c r="A38" t="s">
        <v>118</v>
      </c>
      <c r="B38" s="4">
        <v>40.656990740739275</v>
      </c>
      <c r="C38">
        <v>8</v>
      </c>
      <c r="D38">
        <v>167.44</v>
      </c>
      <c r="E38" s="5" cm="1">
        <f t="array" ref="E38">_xlfn.IFS(B38&lt;=_xlfn.PERCENTILE.INC($B$2:$B$288,0.2),5,B38&lt;=_xlfn.PERCENTILE.INC($B$2:$B$288,0.4),4,B38&lt;=_xlfn.PERCENTILE.INC($B$2:$B$288,0.6),3,B38&lt;=_xlfn.PERCENTILE.INC($B$2:$B$288,0.8),2,B38&gt;_xlfn.PERCENTILE.INC($B$2:$B$288,0.8),1)</f>
        <v>5</v>
      </c>
      <c r="F38" cm="1">
        <f t="array" ref="F38">_xlfn.IFS(C38&gt;=_xlfn.PERCENTILE.INC($C$2:$C$288,0.8),5,C38&gt;=_xlfn.PERCENTILE.INC($C$2:$C$288,0.6),4,C38&gt;=_xlfn.PERCENTILE.INC($C$2:$C$288,0.4),3,C38&gt;=_xlfn.PERCENTILE.INC($C$2:$C$288,0.2),2,C38&lt;_xlfn.PERCENTILE.INC($C$2:$C$288,0.2),1)</f>
        <v>5</v>
      </c>
      <c r="G38" cm="1">
        <f t="array" ref="G38">_xlfn.IFS(D38&gt;=_xlfn.PERCENTILE.INC($D$2:$D$288,0.8),5,D38&gt;=_xlfn.PERCENTILE.INC($D$2:$D$288,0.6),4,D38&gt;=_xlfn.PERCENTILE.INC($D$2:$D$288,0.4),3,D38&gt;=_xlfn.PERCENTILE.INC($D$2:$D$288,0.2),2,D38&lt;_xlfn.PERCENTILE.INC($D$2:$D$288,0.2),1)</f>
        <v>5</v>
      </c>
      <c r="H38">
        <f t="shared" si="0"/>
        <v>15</v>
      </c>
      <c r="I38" t="str" cm="1">
        <f t="array" ref="I38">_xlfn.IFS(H38&gt;=13,"Best Customers",H38&gt;=10,"Loyal Customers",H38&gt;=7,"Potential Loyal Customers",H38&gt;=4,"Need Attention",TRUE,"At Risk")</f>
        <v>Best Customers</v>
      </c>
    </row>
    <row r="39" spans="1:9">
      <c r="A39" t="s">
        <v>441</v>
      </c>
      <c r="B39" s="4">
        <v>46.656990740739275</v>
      </c>
      <c r="C39">
        <v>6</v>
      </c>
      <c r="D39">
        <v>101.46000000000001</v>
      </c>
      <c r="E39" s="5" cm="1">
        <f t="array" ref="E39">_xlfn.IFS(B39&lt;=_xlfn.PERCENTILE.INC($B$2:$B$288,0.2),5,B39&lt;=_xlfn.PERCENTILE.INC($B$2:$B$288,0.4),4,B39&lt;=_xlfn.PERCENTILE.INC($B$2:$B$288,0.6),3,B39&lt;=_xlfn.PERCENTILE.INC($B$2:$B$288,0.8),2,B39&gt;_xlfn.PERCENTILE.INC($B$2:$B$288,0.8),1)</f>
        <v>4</v>
      </c>
      <c r="F39" cm="1">
        <f t="array" ref="F39">_xlfn.IFS(C39&gt;=_xlfn.PERCENTILE.INC($C$2:$C$288,0.8),5,C39&gt;=_xlfn.PERCENTILE.INC($C$2:$C$288,0.6),4,C39&gt;=_xlfn.PERCENTILE.INC($C$2:$C$288,0.4),3,C39&gt;=_xlfn.PERCENTILE.INC($C$2:$C$288,0.2),2,C39&lt;_xlfn.PERCENTILE.INC($C$2:$C$288,0.2),1)</f>
        <v>5</v>
      </c>
      <c r="G39" cm="1">
        <f t="array" ref="G39">_xlfn.IFS(D39&gt;=_xlfn.PERCENTILE.INC($D$2:$D$288,0.8),5,D39&gt;=_xlfn.PERCENTILE.INC($D$2:$D$288,0.6),4,D39&gt;=_xlfn.PERCENTILE.INC($D$2:$D$288,0.4),3,D39&gt;=_xlfn.PERCENTILE.INC($D$2:$D$288,0.2),2,D39&lt;_xlfn.PERCENTILE.INC($D$2:$D$288,0.2),1)</f>
        <v>5</v>
      </c>
      <c r="H39">
        <f t="shared" si="0"/>
        <v>14</v>
      </c>
      <c r="I39" t="str" cm="1">
        <f t="array" ref="I39">_xlfn.IFS(H39&gt;=13,"Best Customers",H39&gt;=10,"Loyal Customers",H39&gt;=7,"Potential Loyal Customers",H39&gt;=4,"Need Attention",TRUE,"At Risk")</f>
        <v>Best Customers</v>
      </c>
    </row>
    <row r="40" spans="1:9">
      <c r="A40" t="s">
        <v>469</v>
      </c>
      <c r="B40" s="4">
        <v>209.65699074073927</v>
      </c>
      <c r="C40">
        <v>4</v>
      </c>
      <c r="D40">
        <v>63.980000000000004</v>
      </c>
      <c r="E40" s="5" cm="1">
        <f t="array" ref="E40">_xlfn.IFS(B40&lt;=_xlfn.PERCENTILE.INC($B$2:$B$288,0.2),5,B40&lt;=_xlfn.PERCENTILE.INC($B$2:$B$288,0.4),4,B40&lt;=_xlfn.PERCENTILE.INC($B$2:$B$288,0.6),3,B40&lt;=_xlfn.PERCENTILE.INC($B$2:$B$288,0.8),2,B40&gt;_xlfn.PERCENTILE.INC($B$2:$B$288,0.8),1)</f>
        <v>1</v>
      </c>
      <c r="F40" cm="1">
        <f t="array" ref="F40">_xlfn.IFS(C40&gt;=_xlfn.PERCENTILE.INC($C$2:$C$288,0.8),5,C40&gt;=_xlfn.PERCENTILE.INC($C$2:$C$288,0.6),4,C40&gt;=_xlfn.PERCENTILE.INC($C$2:$C$288,0.4),3,C40&gt;=_xlfn.PERCENTILE.INC($C$2:$C$288,0.2),2,C40&lt;_xlfn.PERCENTILE.INC($C$2:$C$288,0.2),1)</f>
        <v>4</v>
      </c>
      <c r="G40" cm="1">
        <f t="array" ref="G40">_xlfn.IFS(D40&gt;=_xlfn.PERCENTILE.INC($D$2:$D$288,0.8),5,D40&gt;=_xlfn.PERCENTILE.INC($D$2:$D$288,0.6),4,D40&gt;=_xlfn.PERCENTILE.INC($D$2:$D$288,0.4),3,D40&gt;=_xlfn.PERCENTILE.INC($D$2:$D$288,0.2),2,D40&lt;_xlfn.PERCENTILE.INC($D$2:$D$288,0.2),1)</f>
        <v>4</v>
      </c>
      <c r="H40">
        <f t="shared" si="0"/>
        <v>9</v>
      </c>
      <c r="I40" t="str" cm="1">
        <f t="array" ref="I40">_xlfn.IFS(H40&gt;=13,"Best Customers",H40&gt;=10,"Loyal Customers",H40&gt;=7,"Potential Loyal Customers",H40&gt;=4,"Need Attention",TRUE,"At Risk")</f>
        <v>Potential Loyal Customers</v>
      </c>
    </row>
    <row r="41" spans="1:9">
      <c r="A41" t="s">
        <v>88</v>
      </c>
      <c r="B41" s="4">
        <v>174.65699074073927</v>
      </c>
      <c r="C41">
        <v>4</v>
      </c>
      <c r="D41">
        <v>106.78</v>
      </c>
      <c r="E41" s="5" cm="1">
        <f t="array" ref="E41">_xlfn.IFS(B41&lt;=_xlfn.PERCENTILE.INC($B$2:$B$288,0.2),5,B41&lt;=_xlfn.PERCENTILE.INC($B$2:$B$288,0.4),4,B41&lt;=_xlfn.PERCENTILE.INC($B$2:$B$288,0.6),3,B41&lt;=_xlfn.PERCENTILE.INC($B$2:$B$288,0.8),2,B41&gt;_xlfn.PERCENTILE.INC($B$2:$B$288,0.8),1)</f>
        <v>2</v>
      </c>
      <c r="F41" cm="1">
        <f t="array" ref="F41">_xlfn.IFS(C41&gt;=_xlfn.PERCENTILE.INC($C$2:$C$288,0.8),5,C41&gt;=_xlfn.PERCENTILE.INC($C$2:$C$288,0.6),4,C41&gt;=_xlfn.PERCENTILE.INC($C$2:$C$288,0.4),3,C41&gt;=_xlfn.PERCENTILE.INC($C$2:$C$288,0.2),2,C41&lt;_xlfn.PERCENTILE.INC($C$2:$C$288,0.2),1)</f>
        <v>4</v>
      </c>
      <c r="G41" cm="1">
        <f t="array" ref="G41">_xlfn.IFS(D41&gt;=_xlfn.PERCENTILE.INC($D$2:$D$288,0.8),5,D41&gt;=_xlfn.PERCENTILE.INC($D$2:$D$288,0.6),4,D41&gt;=_xlfn.PERCENTILE.INC($D$2:$D$288,0.4),3,D41&gt;=_xlfn.PERCENTILE.INC($D$2:$D$288,0.2),2,D41&lt;_xlfn.PERCENTILE.INC($D$2:$D$288,0.2),1)</f>
        <v>5</v>
      </c>
      <c r="H41">
        <f t="shared" si="0"/>
        <v>11</v>
      </c>
      <c r="I41" t="str" cm="1">
        <f t="array" ref="I41">_xlfn.IFS(H41&gt;=13,"Best Customers",H41&gt;=10,"Loyal Customers",H41&gt;=7,"Potential Loyal Customers",H41&gt;=4,"Need Attention",TRUE,"At Risk")</f>
        <v>Loyal Customers</v>
      </c>
    </row>
    <row r="42" spans="1:9">
      <c r="A42" t="s">
        <v>1210</v>
      </c>
      <c r="B42" s="4">
        <v>237.65699074073927</v>
      </c>
      <c r="C42">
        <v>1</v>
      </c>
      <c r="D42">
        <v>12.17</v>
      </c>
      <c r="E42" s="5" cm="1">
        <f t="array" ref="E42">_xlfn.IFS(B42&lt;=_xlfn.PERCENTILE.INC($B$2:$B$288,0.2),5,B42&lt;=_xlfn.PERCENTILE.INC($B$2:$B$288,0.4),4,B42&lt;=_xlfn.PERCENTILE.INC($B$2:$B$288,0.6),3,B42&lt;=_xlfn.PERCENTILE.INC($B$2:$B$288,0.8),2,B42&gt;_xlfn.PERCENTILE.INC($B$2:$B$288,0.8),1)</f>
        <v>1</v>
      </c>
      <c r="F42" cm="1">
        <f t="array" ref="F42">_xlfn.IFS(C42&gt;=_xlfn.PERCENTILE.INC($C$2:$C$288,0.8),5,C42&gt;=_xlfn.PERCENTILE.INC($C$2:$C$288,0.6),4,C42&gt;=_xlfn.PERCENTILE.INC($C$2:$C$288,0.4),3,C42&gt;=_xlfn.PERCENTILE.INC($C$2:$C$288,0.2),2,C42&lt;_xlfn.PERCENTILE.INC($C$2:$C$288,0.2),1)</f>
        <v>1</v>
      </c>
      <c r="G42" cm="1">
        <f t="array" ref="G42">_xlfn.IFS(D42&gt;=_xlfn.PERCENTILE.INC($D$2:$D$288,0.8),5,D42&gt;=_xlfn.PERCENTILE.INC($D$2:$D$288,0.6),4,D42&gt;=_xlfn.PERCENTILE.INC($D$2:$D$288,0.4),3,D42&gt;=_xlfn.PERCENTILE.INC($D$2:$D$288,0.2),2,D42&lt;_xlfn.PERCENTILE.INC($D$2:$D$288,0.2),1)</f>
        <v>1</v>
      </c>
      <c r="H42">
        <f t="shared" si="0"/>
        <v>3</v>
      </c>
      <c r="I42" t="str" cm="1">
        <f t="array" ref="I42">_xlfn.IFS(H42&gt;=13,"Best Customers",H42&gt;=10,"Loyal Customers",H42&gt;=7,"Potential Loyal Customers",H42&gt;=4,"Need Attention",TRUE,"At Risk")</f>
        <v>At Risk</v>
      </c>
    </row>
    <row r="43" spans="1:9">
      <c r="A43" t="s">
        <v>565</v>
      </c>
      <c r="B43" s="4">
        <v>129.65699074073927</v>
      </c>
      <c r="C43">
        <v>2</v>
      </c>
      <c r="D43">
        <v>10.379999999999999</v>
      </c>
      <c r="E43" s="5" cm="1">
        <f t="array" ref="E43">_xlfn.IFS(B43&lt;=_xlfn.PERCENTILE.INC($B$2:$B$288,0.2),5,B43&lt;=_xlfn.PERCENTILE.INC($B$2:$B$288,0.4),4,B43&lt;=_xlfn.PERCENTILE.INC($B$2:$B$288,0.6),3,B43&lt;=_xlfn.PERCENTILE.INC($B$2:$B$288,0.8),2,B43&gt;_xlfn.PERCENTILE.INC($B$2:$B$288,0.8),1)</f>
        <v>2</v>
      </c>
      <c r="F43" cm="1">
        <f t="array" ref="F43">_xlfn.IFS(C43&gt;=_xlfn.PERCENTILE.INC($C$2:$C$288,0.8),5,C43&gt;=_xlfn.PERCENTILE.INC($C$2:$C$288,0.6),4,C43&gt;=_xlfn.PERCENTILE.INC($C$2:$C$288,0.4),3,C43&gt;=_xlfn.PERCENTILE.INC($C$2:$C$288,0.2),2,C43&lt;_xlfn.PERCENTILE.INC($C$2:$C$288,0.2),1)</f>
        <v>2</v>
      </c>
      <c r="G43" cm="1">
        <f t="array" ref="G43">_xlfn.IFS(D43&gt;=_xlfn.PERCENTILE.INC($D$2:$D$288,0.8),5,D43&gt;=_xlfn.PERCENTILE.INC($D$2:$D$288,0.6),4,D43&gt;=_xlfn.PERCENTILE.INC($D$2:$D$288,0.4),3,D43&gt;=_xlfn.PERCENTILE.INC($D$2:$D$288,0.2),2,D43&lt;_xlfn.PERCENTILE.INC($D$2:$D$288,0.2),1)</f>
        <v>1</v>
      </c>
      <c r="H43">
        <f t="shared" si="0"/>
        <v>5</v>
      </c>
      <c r="I43" t="str" cm="1">
        <f t="array" ref="I43">_xlfn.IFS(H43&gt;=13,"Best Customers",H43&gt;=10,"Loyal Customers",H43&gt;=7,"Potential Loyal Customers",H43&gt;=4,"Need Attention",TRUE,"At Risk")</f>
        <v>Need Attention</v>
      </c>
    </row>
    <row r="44" spans="1:9">
      <c r="A44" t="s">
        <v>770</v>
      </c>
      <c r="B44" s="4">
        <v>97.656990740739275</v>
      </c>
      <c r="C44">
        <v>2</v>
      </c>
      <c r="D44">
        <v>23.240000000000002</v>
      </c>
      <c r="E44" s="5" cm="1">
        <f t="array" ref="E44">_xlfn.IFS(B44&lt;=_xlfn.PERCENTILE.INC($B$2:$B$288,0.2),5,B44&lt;=_xlfn.PERCENTILE.INC($B$2:$B$288,0.4),4,B44&lt;=_xlfn.PERCENTILE.INC($B$2:$B$288,0.6),3,B44&lt;=_xlfn.PERCENTILE.INC($B$2:$B$288,0.8),2,B44&gt;_xlfn.PERCENTILE.INC($B$2:$B$288,0.8),1)</f>
        <v>3</v>
      </c>
      <c r="F44" cm="1">
        <f t="array" ref="F44">_xlfn.IFS(C44&gt;=_xlfn.PERCENTILE.INC($C$2:$C$288,0.8),5,C44&gt;=_xlfn.PERCENTILE.INC($C$2:$C$288,0.6),4,C44&gt;=_xlfn.PERCENTILE.INC($C$2:$C$288,0.4),3,C44&gt;=_xlfn.PERCENTILE.INC($C$2:$C$288,0.2),2,C44&lt;_xlfn.PERCENTILE.INC($C$2:$C$288,0.2),1)</f>
        <v>2</v>
      </c>
      <c r="G44" cm="1">
        <f t="array" ref="G44">_xlfn.IFS(D44&gt;=_xlfn.PERCENTILE.INC($D$2:$D$288,0.8),5,D44&gt;=_xlfn.PERCENTILE.INC($D$2:$D$288,0.6),4,D44&gt;=_xlfn.PERCENTILE.INC($D$2:$D$288,0.4),3,D44&gt;=_xlfn.PERCENTILE.INC($D$2:$D$288,0.2),2,D44&lt;_xlfn.PERCENTILE.INC($D$2:$D$288,0.2),1)</f>
        <v>1</v>
      </c>
      <c r="H44">
        <f t="shared" si="0"/>
        <v>6</v>
      </c>
      <c r="I44" t="str" cm="1">
        <f t="array" ref="I44">_xlfn.IFS(H44&gt;=13,"Best Customers",H44&gt;=10,"Loyal Customers",H44&gt;=7,"Potential Loyal Customers",H44&gt;=4,"Need Attention",TRUE,"At Risk")</f>
        <v>Need Attention</v>
      </c>
    </row>
    <row r="45" spans="1:9">
      <c r="A45" t="s">
        <v>495</v>
      </c>
      <c r="B45" s="4">
        <v>190.65699074073927</v>
      </c>
      <c r="C45">
        <v>4</v>
      </c>
      <c r="D45">
        <v>65.58</v>
      </c>
      <c r="E45" s="5" cm="1">
        <f t="array" ref="E45">_xlfn.IFS(B45&lt;=_xlfn.PERCENTILE.INC($B$2:$B$288,0.2),5,B45&lt;=_xlfn.PERCENTILE.INC($B$2:$B$288,0.4),4,B45&lt;=_xlfn.PERCENTILE.INC($B$2:$B$288,0.6),3,B45&lt;=_xlfn.PERCENTILE.INC($B$2:$B$288,0.8),2,B45&gt;_xlfn.PERCENTILE.INC($B$2:$B$288,0.8),1)</f>
        <v>1</v>
      </c>
      <c r="F45" cm="1">
        <f t="array" ref="F45">_xlfn.IFS(C45&gt;=_xlfn.PERCENTILE.INC($C$2:$C$288,0.8),5,C45&gt;=_xlfn.PERCENTILE.INC($C$2:$C$288,0.6),4,C45&gt;=_xlfn.PERCENTILE.INC($C$2:$C$288,0.4),3,C45&gt;=_xlfn.PERCENTILE.INC($C$2:$C$288,0.2),2,C45&lt;_xlfn.PERCENTILE.INC($C$2:$C$288,0.2),1)</f>
        <v>4</v>
      </c>
      <c r="G45" cm="1">
        <f t="array" ref="G45">_xlfn.IFS(D45&gt;=_xlfn.PERCENTILE.INC($D$2:$D$288,0.8),5,D45&gt;=_xlfn.PERCENTILE.INC($D$2:$D$288,0.6),4,D45&gt;=_xlfn.PERCENTILE.INC($D$2:$D$288,0.4),3,D45&gt;=_xlfn.PERCENTILE.INC($D$2:$D$288,0.2),2,D45&lt;_xlfn.PERCENTILE.INC($D$2:$D$288,0.2),1)</f>
        <v>4</v>
      </c>
      <c r="H45">
        <f t="shared" si="0"/>
        <v>9</v>
      </c>
      <c r="I45" t="str" cm="1">
        <f t="array" ref="I45">_xlfn.IFS(H45&gt;=13,"Best Customers",H45&gt;=10,"Loyal Customers",H45&gt;=7,"Potential Loyal Customers",H45&gt;=4,"Need Attention",TRUE,"At Risk")</f>
        <v>Potential Loyal Customers</v>
      </c>
    </row>
    <row r="46" spans="1:9">
      <c r="A46" t="s">
        <v>171</v>
      </c>
      <c r="B46" s="4">
        <v>135.65699074073927</v>
      </c>
      <c r="C46">
        <v>4</v>
      </c>
      <c r="D46">
        <v>90.01</v>
      </c>
      <c r="E46" s="5" cm="1">
        <f t="array" ref="E46">_xlfn.IFS(B46&lt;=_xlfn.PERCENTILE.INC($B$2:$B$288,0.2),5,B46&lt;=_xlfn.PERCENTILE.INC($B$2:$B$288,0.4),4,B46&lt;=_xlfn.PERCENTILE.INC($B$2:$B$288,0.6),3,B46&lt;=_xlfn.PERCENTILE.INC($B$2:$B$288,0.8),2,B46&gt;_xlfn.PERCENTILE.INC($B$2:$B$288,0.8),1)</f>
        <v>2</v>
      </c>
      <c r="F46" cm="1">
        <f t="array" ref="F46">_xlfn.IFS(C46&gt;=_xlfn.PERCENTILE.INC($C$2:$C$288,0.8),5,C46&gt;=_xlfn.PERCENTILE.INC($C$2:$C$288,0.6),4,C46&gt;=_xlfn.PERCENTILE.INC($C$2:$C$288,0.4),3,C46&gt;=_xlfn.PERCENTILE.INC($C$2:$C$288,0.2),2,C46&lt;_xlfn.PERCENTILE.INC($C$2:$C$288,0.2),1)</f>
        <v>4</v>
      </c>
      <c r="G46" cm="1">
        <f t="array" ref="G46">_xlfn.IFS(D46&gt;=_xlfn.PERCENTILE.INC($D$2:$D$288,0.8),5,D46&gt;=_xlfn.PERCENTILE.INC($D$2:$D$288,0.6),4,D46&gt;=_xlfn.PERCENTILE.INC($D$2:$D$288,0.4),3,D46&gt;=_xlfn.PERCENTILE.INC($D$2:$D$288,0.2),2,D46&lt;_xlfn.PERCENTILE.INC($D$2:$D$288,0.2),1)</f>
        <v>4</v>
      </c>
      <c r="H46">
        <f t="shared" si="0"/>
        <v>10</v>
      </c>
      <c r="I46" t="str" cm="1">
        <f t="array" ref="I46">_xlfn.IFS(H46&gt;=13,"Best Customers",H46&gt;=10,"Loyal Customers",H46&gt;=7,"Potential Loyal Customers",H46&gt;=4,"Need Attention",TRUE,"At Risk")</f>
        <v>Loyal Customers</v>
      </c>
    </row>
    <row r="47" spans="1:9">
      <c r="A47" t="s">
        <v>289</v>
      </c>
      <c r="B47" s="4">
        <v>212.65699074073927</v>
      </c>
      <c r="C47">
        <v>4</v>
      </c>
      <c r="D47">
        <v>32.14</v>
      </c>
      <c r="E47" s="5" cm="1">
        <f t="array" ref="E47">_xlfn.IFS(B47&lt;=_xlfn.PERCENTILE.INC($B$2:$B$288,0.2),5,B47&lt;=_xlfn.PERCENTILE.INC($B$2:$B$288,0.4),4,B47&lt;=_xlfn.PERCENTILE.INC($B$2:$B$288,0.6),3,B47&lt;=_xlfn.PERCENTILE.INC($B$2:$B$288,0.8),2,B47&gt;_xlfn.PERCENTILE.INC($B$2:$B$288,0.8),1)</f>
        <v>1</v>
      </c>
      <c r="F47" cm="1">
        <f t="array" ref="F47">_xlfn.IFS(C47&gt;=_xlfn.PERCENTILE.INC($C$2:$C$288,0.8),5,C47&gt;=_xlfn.PERCENTILE.INC($C$2:$C$288,0.6),4,C47&gt;=_xlfn.PERCENTILE.INC($C$2:$C$288,0.4),3,C47&gt;=_xlfn.PERCENTILE.INC($C$2:$C$288,0.2),2,C47&lt;_xlfn.PERCENTILE.INC($C$2:$C$288,0.2),1)</f>
        <v>4</v>
      </c>
      <c r="G47" cm="1">
        <f t="array" ref="G47">_xlfn.IFS(D47&gt;=_xlfn.PERCENTILE.INC($D$2:$D$288,0.8),5,D47&gt;=_xlfn.PERCENTILE.INC($D$2:$D$288,0.6),4,D47&gt;=_xlfn.PERCENTILE.INC($D$2:$D$288,0.4),3,D47&gt;=_xlfn.PERCENTILE.INC($D$2:$D$288,0.2),2,D47&lt;_xlfn.PERCENTILE.INC($D$2:$D$288,0.2),1)</f>
        <v>2</v>
      </c>
      <c r="H47">
        <f t="shared" si="0"/>
        <v>7</v>
      </c>
      <c r="I47" t="str" cm="1">
        <f t="array" ref="I47">_xlfn.IFS(H47&gt;=13,"Best Customers",H47&gt;=10,"Loyal Customers",H47&gt;=7,"Potential Loyal Customers",H47&gt;=4,"Need Attention",TRUE,"At Risk")</f>
        <v>Potential Loyal Customers</v>
      </c>
    </row>
    <row r="48" spans="1:9">
      <c r="A48" t="s">
        <v>898</v>
      </c>
      <c r="B48" s="4">
        <v>165.65699074073927</v>
      </c>
      <c r="C48">
        <v>3</v>
      </c>
      <c r="D48">
        <v>32.49</v>
      </c>
      <c r="E48" s="5" cm="1">
        <f t="array" ref="E48">_xlfn.IFS(B48&lt;=_xlfn.PERCENTILE.INC($B$2:$B$288,0.2),5,B48&lt;=_xlfn.PERCENTILE.INC($B$2:$B$288,0.4),4,B48&lt;=_xlfn.PERCENTILE.INC($B$2:$B$288,0.6),3,B48&lt;=_xlfn.PERCENTILE.INC($B$2:$B$288,0.8),2,B48&gt;_xlfn.PERCENTILE.INC($B$2:$B$288,0.8),1)</f>
        <v>2</v>
      </c>
      <c r="F48" cm="1">
        <f t="array" ref="F48">_xlfn.IFS(C48&gt;=_xlfn.PERCENTILE.INC($C$2:$C$288,0.8),5,C48&gt;=_xlfn.PERCENTILE.INC($C$2:$C$288,0.6),4,C48&gt;=_xlfn.PERCENTILE.INC($C$2:$C$288,0.4),3,C48&gt;=_xlfn.PERCENTILE.INC($C$2:$C$288,0.2),2,C48&lt;_xlfn.PERCENTILE.INC($C$2:$C$288,0.2),1)</f>
        <v>3</v>
      </c>
      <c r="G48" cm="1">
        <f t="array" ref="G48">_xlfn.IFS(D48&gt;=_xlfn.PERCENTILE.INC($D$2:$D$288,0.8),5,D48&gt;=_xlfn.PERCENTILE.INC($D$2:$D$288,0.6),4,D48&gt;=_xlfn.PERCENTILE.INC($D$2:$D$288,0.4),3,D48&gt;=_xlfn.PERCENTILE.INC($D$2:$D$288,0.2),2,D48&lt;_xlfn.PERCENTILE.INC($D$2:$D$288,0.2),1)</f>
        <v>2</v>
      </c>
      <c r="H48">
        <f t="shared" si="0"/>
        <v>7</v>
      </c>
      <c r="I48" t="str" cm="1">
        <f t="array" ref="I48">_xlfn.IFS(H48&gt;=13,"Best Customers",H48&gt;=10,"Loyal Customers",H48&gt;=7,"Potential Loyal Customers",H48&gt;=4,"Need Attention",TRUE,"At Risk")</f>
        <v>Potential Loyal Customers</v>
      </c>
    </row>
    <row r="49" spans="1:9">
      <c r="A49" t="s">
        <v>223</v>
      </c>
      <c r="B49" s="4">
        <v>89.656990740739275</v>
      </c>
      <c r="C49">
        <v>3</v>
      </c>
      <c r="D49">
        <v>86.679999999999993</v>
      </c>
      <c r="E49" s="5" cm="1">
        <f t="array" ref="E49">_xlfn.IFS(B49&lt;=_xlfn.PERCENTILE.INC($B$2:$B$288,0.2),5,B49&lt;=_xlfn.PERCENTILE.INC($B$2:$B$288,0.4),4,B49&lt;=_xlfn.PERCENTILE.INC($B$2:$B$288,0.6),3,B49&lt;=_xlfn.PERCENTILE.INC($B$2:$B$288,0.8),2,B49&gt;_xlfn.PERCENTILE.INC($B$2:$B$288,0.8),1)</f>
        <v>3</v>
      </c>
      <c r="F49" cm="1">
        <f t="array" ref="F49">_xlfn.IFS(C49&gt;=_xlfn.PERCENTILE.INC($C$2:$C$288,0.8),5,C49&gt;=_xlfn.PERCENTILE.INC($C$2:$C$288,0.6),4,C49&gt;=_xlfn.PERCENTILE.INC($C$2:$C$288,0.4),3,C49&gt;=_xlfn.PERCENTILE.INC($C$2:$C$288,0.2),2,C49&lt;_xlfn.PERCENTILE.INC($C$2:$C$288,0.2),1)</f>
        <v>3</v>
      </c>
      <c r="G49" cm="1">
        <f t="array" ref="G49">_xlfn.IFS(D49&gt;=_xlfn.PERCENTILE.INC($D$2:$D$288,0.8),5,D49&gt;=_xlfn.PERCENTILE.INC($D$2:$D$288,0.6),4,D49&gt;=_xlfn.PERCENTILE.INC($D$2:$D$288,0.4),3,D49&gt;=_xlfn.PERCENTILE.INC($D$2:$D$288,0.2),2,D49&lt;_xlfn.PERCENTILE.INC($D$2:$D$288,0.2),1)</f>
        <v>4</v>
      </c>
      <c r="H49">
        <f t="shared" si="0"/>
        <v>10</v>
      </c>
      <c r="I49" t="str" cm="1">
        <f t="array" ref="I49">_xlfn.IFS(H49&gt;=13,"Best Customers",H49&gt;=10,"Loyal Customers",H49&gt;=7,"Potential Loyal Customers",H49&gt;=4,"Need Attention",TRUE,"At Risk")</f>
        <v>Loyal Customers</v>
      </c>
    </row>
    <row r="50" spans="1:9">
      <c r="A50" t="s">
        <v>677</v>
      </c>
      <c r="B50" s="4">
        <v>64.656990740739275</v>
      </c>
      <c r="C50">
        <v>2</v>
      </c>
      <c r="D50">
        <v>52.57</v>
      </c>
      <c r="E50" s="5" cm="1">
        <f t="array" ref="E50">_xlfn.IFS(B50&lt;=_xlfn.PERCENTILE.INC($B$2:$B$288,0.2),5,B50&lt;=_xlfn.PERCENTILE.INC($B$2:$B$288,0.4),4,B50&lt;=_xlfn.PERCENTILE.INC($B$2:$B$288,0.6),3,B50&lt;=_xlfn.PERCENTILE.INC($B$2:$B$288,0.8),2,B50&gt;_xlfn.PERCENTILE.INC($B$2:$B$288,0.8),1)</f>
        <v>4</v>
      </c>
      <c r="F50" cm="1">
        <f t="array" ref="F50">_xlfn.IFS(C50&gt;=_xlfn.PERCENTILE.INC($C$2:$C$288,0.8),5,C50&gt;=_xlfn.PERCENTILE.INC($C$2:$C$288,0.6),4,C50&gt;=_xlfn.PERCENTILE.INC($C$2:$C$288,0.4),3,C50&gt;=_xlfn.PERCENTILE.INC($C$2:$C$288,0.2),2,C50&lt;_xlfn.PERCENTILE.INC($C$2:$C$288,0.2),1)</f>
        <v>2</v>
      </c>
      <c r="G50" cm="1">
        <f t="array" ref="G50">_xlfn.IFS(D50&gt;=_xlfn.PERCENTILE.INC($D$2:$D$288,0.8),5,D50&gt;=_xlfn.PERCENTILE.INC($D$2:$D$288,0.6),4,D50&gt;=_xlfn.PERCENTILE.INC($D$2:$D$288,0.4),3,D50&gt;=_xlfn.PERCENTILE.INC($D$2:$D$288,0.2),2,D50&lt;_xlfn.PERCENTILE.INC($D$2:$D$288,0.2),1)</f>
        <v>3</v>
      </c>
      <c r="H50">
        <f t="shared" si="0"/>
        <v>9</v>
      </c>
      <c r="I50" t="str" cm="1">
        <f t="array" ref="I50">_xlfn.IFS(H50&gt;=13,"Best Customers",H50&gt;=10,"Loyal Customers",H50&gt;=7,"Potential Loyal Customers",H50&gt;=4,"Need Attention",TRUE,"At Risk")</f>
        <v>Potential Loyal Customers</v>
      </c>
    </row>
    <row r="51" spans="1:9">
      <c r="A51" t="s">
        <v>420</v>
      </c>
      <c r="B51" s="4">
        <v>36.656990740739275</v>
      </c>
      <c r="C51">
        <v>2</v>
      </c>
      <c r="D51">
        <v>13.86</v>
      </c>
      <c r="E51" s="5" cm="1">
        <f t="array" ref="E51">_xlfn.IFS(B51&lt;=_xlfn.PERCENTILE.INC($B$2:$B$288,0.2),5,B51&lt;=_xlfn.PERCENTILE.INC($B$2:$B$288,0.4),4,B51&lt;=_xlfn.PERCENTILE.INC($B$2:$B$288,0.6),3,B51&lt;=_xlfn.PERCENTILE.INC($B$2:$B$288,0.8),2,B51&gt;_xlfn.PERCENTILE.INC($B$2:$B$288,0.8),1)</f>
        <v>5</v>
      </c>
      <c r="F51" cm="1">
        <f t="array" ref="F51">_xlfn.IFS(C51&gt;=_xlfn.PERCENTILE.INC($C$2:$C$288,0.8),5,C51&gt;=_xlfn.PERCENTILE.INC($C$2:$C$288,0.6),4,C51&gt;=_xlfn.PERCENTILE.INC($C$2:$C$288,0.4),3,C51&gt;=_xlfn.PERCENTILE.INC($C$2:$C$288,0.2),2,C51&lt;_xlfn.PERCENTILE.INC($C$2:$C$288,0.2),1)</f>
        <v>2</v>
      </c>
      <c r="G51" cm="1">
        <f t="array" ref="G51">_xlfn.IFS(D51&gt;=_xlfn.PERCENTILE.INC($D$2:$D$288,0.8),5,D51&gt;=_xlfn.PERCENTILE.INC($D$2:$D$288,0.6),4,D51&gt;=_xlfn.PERCENTILE.INC($D$2:$D$288,0.4),3,D51&gt;=_xlfn.PERCENTILE.INC($D$2:$D$288,0.2),2,D51&lt;_xlfn.PERCENTILE.INC($D$2:$D$288,0.2),1)</f>
        <v>1</v>
      </c>
      <c r="H51">
        <f t="shared" si="0"/>
        <v>8</v>
      </c>
      <c r="I51" t="str" cm="1">
        <f t="array" ref="I51">_xlfn.IFS(H51&gt;=13,"Best Customers",H51&gt;=10,"Loyal Customers",H51&gt;=7,"Potential Loyal Customers",H51&gt;=4,"Need Attention",TRUE,"At Risk")</f>
        <v>Potential Loyal Customers</v>
      </c>
    </row>
    <row r="52" spans="1:9">
      <c r="A52" t="s">
        <v>355</v>
      </c>
      <c r="B52" s="4">
        <v>110.65699074073927</v>
      </c>
      <c r="C52">
        <v>2</v>
      </c>
      <c r="D52">
        <v>14.21</v>
      </c>
      <c r="E52" s="5" cm="1">
        <f t="array" ref="E52">_xlfn.IFS(B52&lt;=_xlfn.PERCENTILE.INC($B$2:$B$288,0.2),5,B52&lt;=_xlfn.PERCENTILE.INC($B$2:$B$288,0.4),4,B52&lt;=_xlfn.PERCENTILE.INC($B$2:$B$288,0.6),3,B52&lt;=_xlfn.PERCENTILE.INC($B$2:$B$288,0.8),2,B52&gt;_xlfn.PERCENTILE.INC($B$2:$B$288,0.8),1)</f>
        <v>3</v>
      </c>
      <c r="F52" cm="1">
        <f t="array" ref="F52">_xlfn.IFS(C52&gt;=_xlfn.PERCENTILE.INC($C$2:$C$288,0.8),5,C52&gt;=_xlfn.PERCENTILE.INC($C$2:$C$288,0.6),4,C52&gt;=_xlfn.PERCENTILE.INC($C$2:$C$288,0.4),3,C52&gt;=_xlfn.PERCENTILE.INC($C$2:$C$288,0.2),2,C52&lt;_xlfn.PERCENTILE.INC($C$2:$C$288,0.2),1)</f>
        <v>2</v>
      </c>
      <c r="G52" cm="1">
        <f t="array" ref="G52">_xlfn.IFS(D52&gt;=_xlfn.PERCENTILE.INC($D$2:$D$288,0.8),5,D52&gt;=_xlfn.PERCENTILE.INC($D$2:$D$288,0.6),4,D52&gt;=_xlfn.PERCENTILE.INC($D$2:$D$288,0.4),3,D52&gt;=_xlfn.PERCENTILE.INC($D$2:$D$288,0.2),2,D52&lt;_xlfn.PERCENTILE.INC($D$2:$D$288,0.2),1)</f>
        <v>1</v>
      </c>
      <c r="H52">
        <f t="shared" si="0"/>
        <v>6</v>
      </c>
      <c r="I52" t="str" cm="1">
        <f t="array" ref="I52">_xlfn.IFS(H52&gt;=13,"Best Customers",H52&gt;=10,"Loyal Customers",H52&gt;=7,"Potential Loyal Customers",H52&gt;=4,"Need Attention",TRUE,"At Risk")</f>
        <v>Need Attention</v>
      </c>
    </row>
    <row r="53" spans="1:9">
      <c r="A53" t="s">
        <v>241</v>
      </c>
      <c r="B53" s="4">
        <v>126.65699074073927</v>
      </c>
      <c r="C53">
        <v>5</v>
      </c>
      <c r="D53">
        <v>81.3</v>
      </c>
      <c r="E53" s="5" cm="1">
        <f t="array" ref="E53">_xlfn.IFS(B53&lt;=_xlfn.PERCENTILE.INC($B$2:$B$288,0.2),5,B53&lt;=_xlfn.PERCENTILE.INC($B$2:$B$288,0.4),4,B53&lt;=_xlfn.PERCENTILE.INC($B$2:$B$288,0.6),3,B53&lt;=_xlfn.PERCENTILE.INC($B$2:$B$288,0.8),2,B53&gt;_xlfn.PERCENTILE.INC($B$2:$B$288,0.8),1)</f>
        <v>2</v>
      </c>
      <c r="F53" cm="1">
        <f t="array" ref="F53">_xlfn.IFS(C53&gt;=_xlfn.PERCENTILE.INC($C$2:$C$288,0.8),5,C53&gt;=_xlfn.PERCENTILE.INC($C$2:$C$288,0.6),4,C53&gt;=_xlfn.PERCENTILE.INC($C$2:$C$288,0.4),3,C53&gt;=_xlfn.PERCENTILE.INC($C$2:$C$288,0.2),2,C53&lt;_xlfn.PERCENTILE.INC($C$2:$C$288,0.2),1)</f>
        <v>5</v>
      </c>
      <c r="G53" cm="1">
        <f t="array" ref="G53">_xlfn.IFS(D53&gt;=_xlfn.PERCENTILE.INC($D$2:$D$288,0.8),5,D53&gt;=_xlfn.PERCENTILE.INC($D$2:$D$288,0.6),4,D53&gt;=_xlfn.PERCENTILE.INC($D$2:$D$288,0.4),3,D53&gt;=_xlfn.PERCENTILE.INC($D$2:$D$288,0.2),2,D53&lt;_xlfn.PERCENTILE.INC($D$2:$D$288,0.2),1)</f>
        <v>4</v>
      </c>
      <c r="H53">
        <f t="shared" si="0"/>
        <v>11</v>
      </c>
      <c r="I53" t="str" cm="1">
        <f t="array" ref="I53">_xlfn.IFS(H53&gt;=13,"Best Customers",H53&gt;=10,"Loyal Customers",H53&gt;=7,"Potential Loyal Customers",H53&gt;=4,"Need Attention",TRUE,"At Risk")</f>
        <v>Loyal Customers</v>
      </c>
    </row>
    <row r="54" spans="1:9">
      <c r="A54" t="s">
        <v>754</v>
      </c>
      <c r="B54" s="4">
        <v>42.656990740739275</v>
      </c>
      <c r="C54">
        <v>1</v>
      </c>
      <c r="D54">
        <v>10.48</v>
      </c>
      <c r="E54" s="5" cm="1">
        <f t="array" ref="E54">_xlfn.IFS(B54&lt;=_xlfn.PERCENTILE.INC($B$2:$B$288,0.2),5,B54&lt;=_xlfn.PERCENTILE.INC($B$2:$B$288,0.4),4,B54&lt;=_xlfn.PERCENTILE.INC($B$2:$B$288,0.6),3,B54&lt;=_xlfn.PERCENTILE.INC($B$2:$B$288,0.8),2,B54&gt;_xlfn.PERCENTILE.INC($B$2:$B$288,0.8),1)</f>
        <v>4</v>
      </c>
      <c r="F54" cm="1">
        <f t="array" ref="F54">_xlfn.IFS(C54&gt;=_xlfn.PERCENTILE.INC($C$2:$C$288,0.8),5,C54&gt;=_xlfn.PERCENTILE.INC($C$2:$C$288,0.6),4,C54&gt;=_xlfn.PERCENTILE.INC($C$2:$C$288,0.4),3,C54&gt;=_xlfn.PERCENTILE.INC($C$2:$C$288,0.2),2,C54&lt;_xlfn.PERCENTILE.INC($C$2:$C$288,0.2),1)</f>
        <v>1</v>
      </c>
      <c r="G54" cm="1">
        <f t="array" ref="G54">_xlfn.IFS(D54&gt;=_xlfn.PERCENTILE.INC($D$2:$D$288,0.8),5,D54&gt;=_xlfn.PERCENTILE.INC($D$2:$D$288,0.6),4,D54&gt;=_xlfn.PERCENTILE.INC($D$2:$D$288,0.4),3,D54&gt;=_xlfn.PERCENTILE.INC($D$2:$D$288,0.2),2,D54&lt;_xlfn.PERCENTILE.INC($D$2:$D$288,0.2),1)</f>
        <v>1</v>
      </c>
      <c r="H54">
        <f t="shared" si="0"/>
        <v>6</v>
      </c>
      <c r="I54" t="str" cm="1">
        <f t="array" ref="I54">_xlfn.IFS(H54&gt;=13,"Best Customers",H54&gt;=10,"Loyal Customers",H54&gt;=7,"Potential Loyal Customers",H54&gt;=4,"Need Attention",TRUE,"At Risk")</f>
        <v>Need Attention</v>
      </c>
    </row>
    <row r="55" spans="1:9">
      <c r="A55" t="s">
        <v>568</v>
      </c>
      <c r="B55" s="4">
        <v>126.65699074073927</v>
      </c>
      <c r="C55">
        <v>1</v>
      </c>
      <c r="D55">
        <v>24.63</v>
      </c>
      <c r="E55" s="5" cm="1">
        <f t="array" ref="E55">_xlfn.IFS(B55&lt;=_xlfn.PERCENTILE.INC($B$2:$B$288,0.2),5,B55&lt;=_xlfn.PERCENTILE.INC($B$2:$B$288,0.4),4,B55&lt;=_xlfn.PERCENTILE.INC($B$2:$B$288,0.6),3,B55&lt;=_xlfn.PERCENTILE.INC($B$2:$B$288,0.8),2,B55&gt;_xlfn.PERCENTILE.INC($B$2:$B$288,0.8),1)</f>
        <v>2</v>
      </c>
      <c r="F55" cm="1">
        <f t="array" ref="F55">_xlfn.IFS(C55&gt;=_xlfn.PERCENTILE.INC($C$2:$C$288,0.8),5,C55&gt;=_xlfn.PERCENTILE.INC($C$2:$C$288,0.6),4,C55&gt;=_xlfn.PERCENTILE.INC($C$2:$C$288,0.4),3,C55&gt;=_xlfn.PERCENTILE.INC($C$2:$C$288,0.2),2,C55&lt;_xlfn.PERCENTILE.INC($C$2:$C$288,0.2),1)</f>
        <v>1</v>
      </c>
      <c r="G55" cm="1">
        <f t="array" ref="G55">_xlfn.IFS(D55&gt;=_xlfn.PERCENTILE.INC($D$2:$D$288,0.8),5,D55&gt;=_xlfn.PERCENTILE.INC($D$2:$D$288,0.6),4,D55&gt;=_xlfn.PERCENTILE.INC($D$2:$D$288,0.4),3,D55&gt;=_xlfn.PERCENTILE.INC($D$2:$D$288,0.2),2,D55&lt;_xlfn.PERCENTILE.INC($D$2:$D$288,0.2),1)</f>
        <v>1</v>
      </c>
      <c r="H55">
        <f t="shared" si="0"/>
        <v>4</v>
      </c>
      <c r="I55" t="str" cm="1">
        <f t="array" ref="I55">_xlfn.IFS(H55&gt;=13,"Best Customers",H55&gt;=10,"Loyal Customers",H55&gt;=7,"Potential Loyal Customers",H55&gt;=4,"Need Attention",TRUE,"At Risk")</f>
        <v>Need Attention</v>
      </c>
    </row>
    <row r="56" spans="1:9">
      <c r="A56" t="s">
        <v>848</v>
      </c>
      <c r="B56" s="4">
        <v>152.65699074073927</v>
      </c>
      <c r="C56">
        <v>2</v>
      </c>
      <c r="D56">
        <v>83.66</v>
      </c>
      <c r="E56" s="5" cm="1">
        <f t="array" ref="E56">_xlfn.IFS(B56&lt;=_xlfn.PERCENTILE.INC($B$2:$B$288,0.2),5,B56&lt;=_xlfn.PERCENTILE.INC($B$2:$B$288,0.4),4,B56&lt;=_xlfn.PERCENTILE.INC($B$2:$B$288,0.6),3,B56&lt;=_xlfn.PERCENTILE.INC($B$2:$B$288,0.8),2,B56&gt;_xlfn.PERCENTILE.INC($B$2:$B$288,0.8),1)</f>
        <v>2</v>
      </c>
      <c r="F56" cm="1">
        <f t="array" ref="F56">_xlfn.IFS(C56&gt;=_xlfn.PERCENTILE.INC($C$2:$C$288,0.8),5,C56&gt;=_xlfn.PERCENTILE.INC($C$2:$C$288,0.6),4,C56&gt;=_xlfn.PERCENTILE.INC($C$2:$C$288,0.4),3,C56&gt;=_xlfn.PERCENTILE.INC($C$2:$C$288,0.2),2,C56&lt;_xlfn.PERCENTILE.INC($C$2:$C$288,0.2),1)</f>
        <v>2</v>
      </c>
      <c r="G56" cm="1">
        <f t="array" ref="G56">_xlfn.IFS(D56&gt;=_xlfn.PERCENTILE.INC($D$2:$D$288,0.8),5,D56&gt;=_xlfn.PERCENTILE.INC($D$2:$D$288,0.6),4,D56&gt;=_xlfn.PERCENTILE.INC($D$2:$D$288,0.4),3,D56&gt;=_xlfn.PERCENTILE.INC($D$2:$D$288,0.2),2,D56&lt;_xlfn.PERCENTILE.INC($D$2:$D$288,0.2),1)</f>
        <v>4</v>
      </c>
      <c r="H56">
        <f t="shared" si="0"/>
        <v>8</v>
      </c>
      <c r="I56" t="str" cm="1">
        <f t="array" ref="I56">_xlfn.IFS(H56&gt;=13,"Best Customers",H56&gt;=10,"Loyal Customers",H56&gt;=7,"Potential Loyal Customers",H56&gt;=4,"Need Attention",TRUE,"At Risk")</f>
        <v>Potential Loyal Customers</v>
      </c>
    </row>
    <row r="57" spans="1:9">
      <c r="A57" t="s">
        <v>429</v>
      </c>
      <c r="B57" s="4">
        <v>40.656990740739275</v>
      </c>
      <c r="C57">
        <v>7</v>
      </c>
      <c r="D57">
        <v>99.24</v>
      </c>
      <c r="E57" s="5" cm="1">
        <f t="array" ref="E57">_xlfn.IFS(B57&lt;=_xlfn.PERCENTILE.INC($B$2:$B$288,0.2),5,B57&lt;=_xlfn.PERCENTILE.INC($B$2:$B$288,0.4),4,B57&lt;=_xlfn.PERCENTILE.INC($B$2:$B$288,0.6),3,B57&lt;=_xlfn.PERCENTILE.INC($B$2:$B$288,0.8),2,B57&gt;_xlfn.PERCENTILE.INC($B$2:$B$288,0.8),1)</f>
        <v>5</v>
      </c>
      <c r="F57" cm="1">
        <f t="array" ref="F57">_xlfn.IFS(C57&gt;=_xlfn.PERCENTILE.INC($C$2:$C$288,0.8),5,C57&gt;=_xlfn.PERCENTILE.INC($C$2:$C$288,0.6),4,C57&gt;=_xlfn.PERCENTILE.INC($C$2:$C$288,0.4),3,C57&gt;=_xlfn.PERCENTILE.INC($C$2:$C$288,0.2),2,C57&lt;_xlfn.PERCENTILE.INC($C$2:$C$288,0.2),1)</f>
        <v>5</v>
      </c>
      <c r="G57" cm="1">
        <f t="array" ref="G57">_xlfn.IFS(D57&gt;=_xlfn.PERCENTILE.INC($D$2:$D$288,0.8),5,D57&gt;=_xlfn.PERCENTILE.INC($D$2:$D$288,0.6),4,D57&gt;=_xlfn.PERCENTILE.INC($D$2:$D$288,0.4),3,D57&gt;=_xlfn.PERCENTILE.INC($D$2:$D$288,0.2),2,D57&lt;_xlfn.PERCENTILE.INC($D$2:$D$288,0.2),1)</f>
        <v>5</v>
      </c>
      <c r="H57">
        <f t="shared" si="0"/>
        <v>15</v>
      </c>
      <c r="I57" t="str" cm="1">
        <f t="array" ref="I57">_xlfn.IFS(H57&gt;=13,"Best Customers",H57&gt;=10,"Loyal Customers",H57&gt;=7,"Potential Loyal Customers",H57&gt;=4,"Need Attention",TRUE,"At Risk")</f>
        <v>Best Customers</v>
      </c>
    </row>
    <row r="58" spans="1:9">
      <c r="A58" t="s">
        <v>60</v>
      </c>
      <c r="B58" s="4">
        <v>43.656990740739275</v>
      </c>
      <c r="C58">
        <v>4</v>
      </c>
      <c r="D58">
        <v>88.919999999999987</v>
      </c>
      <c r="E58" s="5" cm="1">
        <f t="array" ref="E58">_xlfn.IFS(B58&lt;=_xlfn.PERCENTILE.INC($B$2:$B$288,0.2),5,B58&lt;=_xlfn.PERCENTILE.INC($B$2:$B$288,0.4),4,B58&lt;=_xlfn.PERCENTILE.INC($B$2:$B$288,0.6),3,B58&lt;=_xlfn.PERCENTILE.INC($B$2:$B$288,0.8),2,B58&gt;_xlfn.PERCENTILE.INC($B$2:$B$288,0.8),1)</f>
        <v>4</v>
      </c>
      <c r="F58" cm="1">
        <f t="array" ref="F58">_xlfn.IFS(C58&gt;=_xlfn.PERCENTILE.INC($C$2:$C$288,0.8),5,C58&gt;=_xlfn.PERCENTILE.INC($C$2:$C$288,0.6),4,C58&gt;=_xlfn.PERCENTILE.INC($C$2:$C$288,0.4),3,C58&gt;=_xlfn.PERCENTILE.INC($C$2:$C$288,0.2),2,C58&lt;_xlfn.PERCENTILE.INC($C$2:$C$288,0.2),1)</f>
        <v>4</v>
      </c>
      <c r="G58" cm="1">
        <f t="array" ref="G58">_xlfn.IFS(D58&gt;=_xlfn.PERCENTILE.INC($D$2:$D$288,0.8),5,D58&gt;=_xlfn.PERCENTILE.INC($D$2:$D$288,0.6),4,D58&gt;=_xlfn.PERCENTILE.INC($D$2:$D$288,0.4),3,D58&gt;=_xlfn.PERCENTILE.INC($D$2:$D$288,0.2),2,D58&lt;_xlfn.PERCENTILE.INC($D$2:$D$288,0.2),1)</f>
        <v>4</v>
      </c>
      <c r="H58">
        <f t="shared" si="0"/>
        <v>12</v>
      </c>
      <c r="I58" t="str" cm="1">
        <f t="array" ref="I58">_xlfn.IFS(H58&gt;=13,"Best Customers",H58&gt;=10,"Loyal Customers",H58&gt;=7,"Potential Loyal Customers",H58&gt;=4,"Need Attention",TRUE,"At Risk")</f>
        <v>Loyal Customers</v>
      </c>
    </row>
    <row r="59" spans="1:9">
      <c r="A59" t="s">
        <v>546</v>
      </c>
      <c r="B59" s="4">
        <v>228.65699074073927</v>
      </c>
      <c r="C59">
        <v>3</v>
      </c>
      <c r="D59">
        <v>46.61</v>
      </c>
      <c r="E59" s="5" cm="1">
        <f t="array" ref="E59">_xlfn.IFS(B59&lt;=_xlfn.PERCENTILE.INC($B$2:$B$288,0.2),5,B59&lt;=_xlfn.PERCENTILE.INC($B$2:$B$288,0.4),4,B59&lt;=_xlfn.PERCENTILE.INC($B$2:$B$288,0.6),3,B59&lt;=_xlfn.PERCENTILE.INC($B$2:$B$288,0.8),2,B59&gt;_xlfn.PERCENTILE.INC($B$2:$B$288,0.8),1)</f>
        <v>1</v>
      </c>
      <c r="F59" cm="1">
        <f t="array" ref="F59">_xlfn.IFS(C59&gt;=_xlfn.PERCENTILE.INC($C$2:$C$288,0.8),5,C59&gt;=_xlfn.PERCENTILE.INC($C$2:$C$288,0.6),4,C59&gt;=_xlfn.PERCENTILE.INC($C$2:$C$288,0.4),3,C59&gt;=_xlfn.PERCENTILE.INC($C$2:$C$288,0.2),2,C59&lt;_xlfn.PERCENTILE.INC($C$2:$C$288,0.2),1)</f>
        <v>3</v>
      </c>
      <c r="G59" cm="1">
        <f t="array" ref="G59">_xlfn.IFS(D59&gt;=_xlfn.PERCENTILE.INC($D$2:$D$288,0.8),5,D59&gt;=_xlfn.PERCENTILE.INC($D$2:$D$288,0.6),4,D59&gt;=_xlfn.PERCENTILE.INC($D$2:$D$288,0.4),3,D59&gt;=_xlfn.PERCENTILE.INC($D$2:$D$288,0.2),2,D59&lt;_xlfn.PERCENTILE.INC($D$2:$D$288,0.2),1)</f>
        <v>3</v>
      </c>
      <c r="H59">
        <f t="shared" si="0"/>
        <v>7</v>
      </c>
      <c r="I59" t="str" cm="1">
        <f t="array" ref="I59">_xlfn.IFS(H59&gt;=13,"Best Customers",H59&gt;=10,"Loyal Customers",H59&gt;=7,"Potential Loyal Customers",H59&gt;=4,"Need Attention",TRUE,"At Risk")</f>
        <v>Potential Loyal Customers</v>
      </c>
    </row>
    <row r="60" spans="1:9">
      <c r="A60" t="s">
        <v>80</v>
      </c>
      <c r="B60" s="4">
        <v>192.65699074073927</v>
      </c>
      <c r="C60">
        <v>3</v>
      </c>
      <c r="D60">
        <v>51.039999999999992</v>
      </c>
      <c r="E60" s="5" cm="1">
        <f t="array" ref="E60">_xlfn.IFS(B60&lt;=_xlfn.PERCENTILE.INC($B$2:$B$288,0.2),5,B60&lt;=_xlfn.PERCENTILE.INC($B$2:$B$288,0.4),4,B60&lt;=_xlfn.PERCENTILE.INC($B$2:$B$288,0.6),3,B60&lt;=_xlfn.PERCENTILE.INC($B$2:$B$288,0.8),2,B60&gt;_xlfn.PERCENTILE.INC($B$2:$B$288,0.8),1)</f>
        <v>1</v>
      </c>
      <c r="F60" cm="1">
        <f t="array" ref="F60">_xlfn.IFS(C60&gt;=_xlfn.PERCENTILE.INC($C$2:$C$288,0.8),5,C60&gt;=_xlfn.PERCENTILE.INC($C$2:$C$288,0.6),4,C60&gt;=_xlfn.PERCENTILE.INC($C$2:$C$288,0.4),3,C60&gt;=_xlfn.PERCENTILE.INC($C$2:$C$288,0.2),2,C60&lt;_xlfn.PERCENTILE.INC($C$2:$C$288,0.2),1)</f>
        <v>3</v>
      </c>
      <c r="G60" cm="1">
        <f t="array" ref="G60">_xlfn.IFS(D60&gt;=_xlfn.PERCENTILE.INC($D$2:$D$288,0.8),5,D60&gt;=_xlfn.PERCENTILE.INC($D$2:$D$288,0.6),4,D60&gt;=_xlfn.PERCENTILE.INC($D$2:$D$288,0.4),3,D60&gt;=_xlfn.PERCENTILE.INC($D$2:$D$288,0.2),2,D60&lt;_xlfn.PERCENTILE.INC($D$2:$D$288,0.2),1)</f>
        <v>3</v>
      </c>
      <c r="H60">
        <f t="shared" si="0"/>
        <v>7</v>
      </c>
      <c r="I60" t="str" cm="1">
        <f t="array" ref="I60">_xlfn.IFS(H60&gt;=13,"Best Customers",H60&gt;=10,"Loyal Customers",H60&gt;=7,"Potential Loyal Customers",H60&gt;=4,"Need Attention",TRUE,"At Risk")</f>
        <v>Potential Loyal Customers</v>
      </c>
    </row>
    <row r="61" spans="1:9">
      <c r="A61" t="s">
        <v>106</v>
      </c>
      <c r="B61" s="4">
        <v>139.65699074073927</v>
      </c>
      <c r="C61">
        <v>6</v>
      </c>
      <c r="D61">
        <v>96.279999999999987</v>
      </c>
      <c r="E61" s="5" cm="1">
        <f t="array" ref="E61">_xlfn.IFS(B61&lt;=_xlfn.PERCENTILE.INC($B$2:$B$288,0.2),5,B61&lt;=_xlfn.PERCENTILE.INC($B$2:$B$288,0.4),4,B61&lt;=_xlfn.PERCENTILE.INC($B$2:$B$288,0.6),3,B61&lt;=_xlfn.PERCENTILE.INC($B$2:$B$288,0.8),2,B61&gt;_xlfn.PERCENTILE.INC($B$2:$B$288,0.8),1)</f>
        <v>2</v>
      </c>
      <c r="F61" cm="1">
        <f t="array" ref="F61">_xlfn.IFS(C61&gt;=_xlfn.PERCENTILE.INC($C$2:$C$288,0.8),5,C61&gt;=_xlfn.PERCENTILE.INC($C$2:$C$288,0.6),4,C61&gt;=_xlfn.PERCENTILE.INC($C$2:$C$288,0.4),3,C61&gt;=_xlfn.PERCENTILE.INC($C$2:$C$288,0.2),2,C61&lt;_xlfn.PERCENTILE.INC($C$2:$C$288,0.2),1)</f>
        <v>5</v>
      </c>
      <c r="G61" cm="1">
        <f t="array" ref="G61">_xlfn.IFS(D61&gt;=_xlfn.PERCENTILE.INC($D$2:$D$288,0.8),5,D61&gt;=_xlfn.PERCENTILE.INC($D$2:$D$288,0.6),4,D61&gt;=_xlfn.PERCENTILE.INC($D$2:$D$288,0.4),3,D61&gt;=_xlfn.PERCENTILE.INC($D$2:$D$288,0.2),2,D61&lt;_xlfn.PERCENTILE.INC($D$2:$D$288,0.2),1)</f>
        <v>5</v>
      </c>
      <c r="H61">
        <f t="shared" si="0"/>
        <v>12</v>
      </c>
      <c r="I61" t="str" cm="1">
        <f t="array" ref="I61">_xlfn.IFS(H61&gt;=13,"Best Customers",H61&gt;=10,"Loyal Customers",H61&gt;=7,"Potential Loyal Customers",H61&gt;=4,"Need Attention",TRUE,"At Risk")</f>
        <v>Loyal Customers</v>
      </c>
    </row>
    <row r="62" spans="1:9">
      <c r="A62" t="s">
        <v>497</v>
      </c>
      <c r="B62" s="4">
        <v>35.656990740739275</v>
      </c>
      <c r="C62">
        <v>3</v>
      </c>
      <c r="D62">
        <v>49.8</v>
      </c>
      <c r="E62" s="5" cm="1">
        <f t="array" ref="E62">_xlfn.IFS(B62&lt;=_xlfn.PERCENTILE.INC($B$2:$B$288,0.2),5,B62&lt;=_xlfn.PERCENTILE.INC($B$2:$B$288,0.4),4,B62&lt;=_xlfn.PERCENTILE.INC($B$2:$B$288,0.6),3,B62&lt;=_xlfn.PERCENTILE.INC($B$2:$B$288,0.8),2,B62&gt;_xlfn.PERCENTILE.INC($B$2:$B$288,0.8),1)</f>
        <v>5</v>
      </c>
      <c r="F62" cm="1">
        <f t="array" ref="F62">_xlfn.IFS(C62&gt;=_xlfn.PERCENTILE.INC($C$2:$C$288,0.8),5,C62&gt;=_xlfn.PERCENTILE.INC($C$2:$C$288,0.6),4,C62&gt;=_xlfn.PERCENTILE.INC($C$2:$C$288,0.4),3,C62&gt;=_xlfn.PERCENTILE.INC($C$2:$C$288,0.2),2,C62&lt;_xlfn.PERCENTILE.INC($C$2:$C$288,0.2),1)</f>
        <v>3</v>
      </c>
      <c r="G62" cm="1">
        <f t="array" ref="G62">_xlfn.IFS(D62&gt;=_xlfn.PERCENTILE.INC($D$2:$D$288,0.8),5,D62&gt;=_xlfn.PERCENTILE.INC($D$2:$D$288,0.6),4,D62&gt;=_xlfn.PERCENTILE.INC($D$2:$D$288,0.4),3,D62&gt;=_xlfn.PERCENTILE.INC($D$2:$D$288,0.2),2,D62&lt;_xlfn.PERCENTILE.INC($D$2:$D$288,0.2),1)</f>
        <v>3</v>
      </c>
      <c r="H62">
        <f t="shared" si="0"/>
        <v>11</v>
      </c>
      <c r="I62" t="str" cm="1">
        <f t="array" ref="I62">_xlfn.IFS(H62&gt;=13,"Best Customers",H62&gt;=10,"Loyal Customers",H62&gt;=7,"Potential Loyal Customers",H62&gt;=4,"Need Attention",TRUE,"At Risk")</f>
        <v>Loyal Customers</v>
      </c>
    </row>
    <row r="63" spans="1:9">
      <c r="A63" t="s">
        <v>652</v>
      </c>
      <c r="B63" s="4">
        <v>17.656990740739275</v>
      </c>
      <c r="C63">
        <v>2</v>
      </c>
      <c r="D63">
        <v>23.78</v>
      </c>
      <c r="E63" s="5" cm="1">
        <f t="array" ref="E63">_xlfn.IFS(B63&lt;=_xlfn.PERCENTILE.INC($B$2:$B$288,0.2),5,B63&lt;=_xlfn.PERCENTILE.INC($B$2:$B$288,0.4),4,B63&lt;=_xlfn.PERCENTILE.INC($B$2:$B$288,0.6),3,B63&lt;=_xlfn.PERCENTILE.INC($B$2:$B$288,0.8),2,B63&gt;_xlfn.PERCENTILE.INC($B$2:$B$288,0.8),1)</f>
        <v>5</v>
      </c>
      <c r="F63" cm="1">
        <f t="array" ref="F63">_xlfn.IFS(C63&gt;=_xlfn.PERCENTILE.INC($C$2:$C$288,0.8),5,C63&gt;=_xlfn.PERCENTILE.INC($C$2:$C$288,0.6),4,C63&gt;=_xlfn.PERCENTILE.INC($C$2:$C$288,0.4),3,C63&gt;=_xlfn.PERCENTILE.INC($C$2:$C$288,0.2),2,C63&lt;_xlfn.PERCENTILE.INC($C$2:$C$288,0.2),1)</f>
        <v>2</v>
      </c>
      <c r="G63" cm="1">
        <f t="array" ref="G63">_xlfn.IFS(D63&gt;=_xlfn.PERCENTILE.INC($D$2:$D$288,0.8),5,D63&gt;=_xlfn.PERCENTILE.INC($D$2:$D$288,0.6),4,D63&gt;=_xlfn.PERCENTILE.INC($D$2:$D$288,0.4),3,D63&gt;=_xlfn.PERCENTILE.INC($D$2:$D$288,0.2),2,D63&lt;_xlfn.PERCENTILE.INC($D$2:$D$288,0.2),1)</f>
        <v>1</v>
      </c>
      <c r="H63">
        <f t="shared" si="0"/>
        <v>8</v>
      </c>
      <c r="I63" t="str" cm="1">
        <f t="array" ref="I63">_xlfn.IFS(H63&gt;=13,"Best Customers",H63&gt;=10,"Loyal Customers",H63&gt;=7,"Potential Loyal Customers",H63&gt;=4,"Need Attention",TRUE,"At Risk")</f>
        <v>Potential Loyal Customers</v>
      </c>
    </row>
    <row r="64" spans="1:9">
      <c r="A64" t="s">
        <v>1030</v>
      </c>
      <c r="B64" s="4">
        <v>24.656990740739275</v>
      </c>
      <c r="C64">
        <v>2</v>
      </c>
      <c r="D64">
        <v>56.19</v>
      </c>
      <c r="E64" s="5" cm="1">
        <f t="array" ref="E64">_xlfn.IFS(B64&lt;=_xlfn.PERCENTILE.INC($B$2:$B$288,0.2),5,B64&lt;=_xlfn.PERCENTILE.INC($B$2:$B$288,0.4),4,B64&lt;=_xlfn.PERCENTILE.INC($B$2:$B$288,0.6),3,B64&lt;=_xlfn.PERCENTILE.INC($B$2:$B$288,0.8),2,B64&gt;_xlfn.PERCENTILE.INC($B$2:$B$288,0.8),1)</f>
        <v>5</v>
      </c>
      <c r="F64" cm="1">
        <f t="array" ref="F64">_xlfn.IFS(C64&gt;=_xlfn.PERCENTILE.INC($C$2:$C$288,0.8),5,C64&gt;=_xlfn.PERCENTILE.INC($C$2:$C$288,0.6),4,C64&gt;=_xlfn.PERCENTILE.INC($C$2:$C$288,0.4),3,C64&gt;=_xlfn.PERCENTILE.INC($C$2:$C$288,0.2),2,C64&lt;_xlfn.PERCENTILE.INC($C$2:$C$288,0.2),1)</f>
        <v>2</v>
      </c>
      <c r="G64" cm="1">
        <f t="array" ref="G64">_xlfn.IFS(D64&gt;=_xlfn.PERCENTILE.INC($D$2:$D$288,0.8),5,D64&gt;=_xlfn.PERCENTILE.INC($D$2:$D$288,0.6),4,D64&gt;=_xlfn.PERCENTILE.INC($D$2:$D$288,0.4),3,D64&gt;=_xlfn.PERCENTILE.INC($D$2:$D$288,0.2),2,D64&lt;_xlfn.PERCENTILE.INC($D$2:$D$288,0.2),1)</f>
        <v>3</v>
      </c>
      <c r="H64">
        <f t="shared" si="0"/>
        <v>10</v>
      </c>
      <c r="I64" t="str" cm="1">
        <f t="array" ref="I64">_xlfn.IFS(H64&gt;=13,"Best Customers",H64&gt;=10,"Loyal Customers",H64&gt;=7,"Potential Loyal Customers",H64&gt;=4,"Need Attention",TRUE,"At Risk")</f>
        <v>Loyal Customers</v>
      </c>
    </row>
    <row r="65" spans="1:9">
      <c r="A65" t="s">
        <v>124</v>
      </c>
      <c r="B65" s="4">
        <v>269.65699074073927</v>
      </c>
      <c r="C65">
        <v>2</v>
      </c>
      <c r="D65">
        <v>50.21</v>
      </c>
      <c r="E65" s="5" cm="1">
        <f t="array" ref="E65">_xlfn.IFS(B65&lt;=_xlfn.PERCENTILE.INC($B$2:$B$288,0.2),5,B65&lt;=_xlfn.PERCENTILE.INC($B$2:$B$288,0.4),4,B65&lt;=_xlfn.PERCENTILE.INC($B$2:$B$288,0.6),3,B65&lt;=_xlfn.PERCENTILE.INC($B$2:$B$288,0.8),2,B65&gt;_xlfn.PERCENTILE.INC($B$2:$B$288,0.8),1)</f>
        <v>1</v>
      </c>
      <c r="F65" cm="1">
        <f t="array" ref="F65">_xlfn.IFS(C65&gt;=_xlfn.PERCENTILE.INC($C$2:$C$288,0.8),5,C65&gt;=_xlfn.PERCENTILE.INC($C$2:$C$288,0.6),4,C65&gt;=_xlfn.PERCENTILE.INC($C$2:$C$288,0.4),3,C65&gt;=_xlfn.PERCENTILE.INC($C$2:$C$288,0.2),2,C65&lt;_xlfn.PERCENTILE.INC($C$2:$C$288,0.2),1)</f>
        <v>2</v>
      </c>
      <c r="G65" cm="1">
        <f t="array" ref="G65">_xlfn.IFS(D65&gt;=_xlfn.PERCENTILE.INC($D$2:$D$288,0.8),5,D65&gt;=_xlfn.PERCENTILE.INC($D$2:$D$288,0.6),4,D65&gt;=_xlfn.PERCENTILE.INC($D$2:$D$288,0.4),3,D65&gt;=_xlfn.PERCENTILE.INC($D$2:$D$288,0.2),2,D65&lt;_xlfn.PERCENTILE.INC($D$2:$D$288,0.2),1)</f>
        <v>3</v>
      </c>
      <c r="H65">
        <f t="shared" si="0"/>
        <v>6</v>
      </c>
      <c r="I65" t="str" cm="1">
        <f t="array" ref="I65">_xlfn.IFS(H65&gt;=13,"Best Customers",H65&gt;=10,"Loyal Customers",H65&gt;=7,"Potential Loyal Customers",H65&gt;=4,"Need Attention",TRUE,"At Risk")</f>
        <v>Need Attention</v>
      </c>
    </row>
    <row r="66" spans="1:9">
      <c r="A66" t="s">
        <v>719</v>
      </c>
      <c r="B66" s="4">
        <v>164.65699074073927</v>
      </c>
      <c r="C66">
        <v>2</v>
      </c>
      <c r="D66">
        <v>40.29</v>
      </c>
      <c r="E66" s="5" cm="1">
        <f t="array" ref="E66">_xlfn.IFS(B66&lt;=_xlfn.PERCENTILE.INC($B$2:$B$288,0.2),5,B66&lt;=_xlfn.PERCENTILE.INC($B$2:$B$288,0.4),4,B66&lt;=_xlfn.PERCENTILE.INC($B$2:$B$288,0.6),3,B66&lt;=_xlfn.PERCENTILE.INC($B$2:$B$288,0.8),2,B66&gt;_xlfn.PERCENTILE.INC($B$2:$B$288,0.8),1)</f>
        <v>2</v>
      </c>
      <c r="F66" cm="1">
        <f t="array" ref="F66">_xlfn.IFS(C66&gt;=_xlfn.PERCENTILE.INC($C$2:$C$288,0.8),5,C66&gt;=_xlfn.PERCENTILE.INC($C$2:$C$288,0.6),4,C66&gt;=_xlfn.PERCENTILE.INC($C$2:$C$288,0.4),3,C66&gt;=_xlfn.PERCENTILE.INC($C$2:$C$288,0.2),2,C66&lt;_xlfn.PERCENTILE.INC($C$2:$C$288,0.2),1)</f>
        <v>2</v>
      </c>
      <c r="G66" cm="1">
        <f t="array" ref="G66">_xlfn.IFS(D66&gt;=_xlfn.PERCENTILE.INC($D$2:$D$288,0.8),5,D66&gt;=_xlfn.PERCENTILE.INC($D$2:$D$288,0.6),4,D66&gt;=_xlfn.PERCENTILE.INC($D$2:$D$288,0.4),3,D66&gt;=_xlfn.PERCENTILE.INC($D$2:$D$288,0.2),2,D66&lt;_xlfn.PERCENTILE.INC($D$2:$D$288,0.2),1)</f>
        <v>2</v>
      </c>
      <c r="H66">
        <f t="shared" si="0"/>
        <v>6</v>
      </c>
      <c r="I66" t="str" cm="1">
        <f t="array" ref="I66">_xlfn.IFS(H66&gt;=13,"Best Customers",H66&gt;=10,"Loyal Customers",H66&gt;=7,"Potential Loyal Customers",H66&gt;=4,"Need Attention",TRUE,"At Risk")</f>
        <v>Need Attention</v>
      </c>
    </row>
    <row r="67" spans="1:9">
      <c r="A67" t="s">
        <v>45</v>
      </c>
      <c r="B67" s="4">
        <v>73.656990740739275</v>
      </c>
      <c r="C67">
        <v>5</v>
      </c>
      <c r="D67">
        <v>56.240000000000009</v>
      </c>
      <c r="E67" s="5" cm="1">
        <f t="array" ref="E67">_xlfn.IFS(B67&lt;=_xlfn.PERCENTILE.INC($B$2:$B$288,0.2),5,B67&lt;=_xlfn.PERCENTILE.INC($B$2:$B$288,0.4),4,B67&lt;=_xlfn.PERCENTILE.INC($B$2:$B$288,0.6),3,B67&lt;=_xlfn.PERCENTILE.INC($B$2:$B$288,0.8),2,B67&gt;_xlfn.PERCENTILE.INC($B$2:$B$288,0.8),1)</f>
        <v>3</v>
      </c>
      <c r="F67" cm="1">
        <f t="array" ref="F67">_xlfn.IFS(C67&gt;=_xlfn.PERCENTILE.INC($C$2:$C$288,0.8),5,C67&gt;=_xlfn.PERCENTILE.INC($C$2:$C$288,0.6),4,C67&gt;=_xlfn.PERCENTILE.INC($C$2:$C$288,0.4),3,C67&gt;=_xlfn.PERCENTILE.INC($C$2:$C$288,0.2),2,C67&lt;_xlfn.PERCENTILE.INC($C$2:$C$288,0.2),1)</f>
        <v>5</v>
      </c>
      <c r="G67" cm="1">
        <f t="array" ref="G67">_xlfn.IFS(D67&gt;=_xlfn.PERCENTILE.INC($D$2:$D$288,0.8),5,D67&gt;=_xlfn.PERCENTILE.INC($D$2:$D$288,0.6),4,D67&gt;=_xlfn.PERCENTILE.INC($D$2:$D$288,0.4),3,D67&gt;=_xlfn.PERCENTILE.INC($D$2:$D$288,0.2),2,D67&lt;_xlfn.PERCENTILE.INC($D$2:$D$288,0.2),1)</f>
        <v>3</v>
      </c>
      <c r="H67">
        <f t="shared" ref="H67:H130" si="1">E67+F67+G67</f>
        <v>11</v>
      </c>
      <c r="I67" t="str" cm="1">
        <f t="array" ref="I67">_xlfn.IFS(H67&gt;=13,"Best Customers",H67&gt;=10,"Loyal Customers",H67&gt;=7,"Potential Loyal Customers",H67&gt;=4,"Need Attention",TRUE,"At Risk")</f>
        <v>Loyal Customers</v>
      </c>
    </row>
    <row r="68" spans="1:9">
      <c r="A68" t="s">
        <v>1246</v>
      </c>
      <c r="B68" s="4">
        <v>32.656990740739275</v>
      </c>
      <c r="C68">
        <v>1</v>
      </c>
      <c r="D68">
        <v>13.79</v>
      </c>
      <c r="E68" s="5" cm="1">
        <f t="array" ref="E68">_xlfn.IFS(B68&lt;=_xlfn.PERCENTILE.INC($B$2:$B$288,0.2),5,B68&lt;=_xlfn.PERCENTILE.INC($B$2:$B$288,0.4),4,B68&lt;=_xlfn.PERCENTILE.INC($B$2:$B$288,0.6),3,B68&lt;=_xlfn.PERCENTILE.INC($B$2:$B$288,0.8),2,B68&gt;_xlfn.PERCENTILE.INC($B$2:$B$288,0.8),1)</f>
        <v>5</v>
      </c>
      <c r="F68" cm="1">
        <f t="array" ref="F68">_xlfn.IFS(C68&gt;=_xlfn.PERCENTILE.INC($C$2:$C$288,0.8),5,C68&gt;=_xlfn.PERCENTILE.INC($C$2:$C$288,0.6),4,C68&gt;=_xlfn.PERCENTILE.INC($C$2:$C$288,0.4),3,C68&gt;=_xlfn.PERCENTILE.INC($C$2:$C$288,0.2),2,C68&lt;_xlfn.PERCENTILE.INC($C$2:$C$288,0.2),1)</f>
        <v>1</v>
      </c>
      <c r="G68" cm="1">
        <f t="array" ref="G68">_xlfn.IFS(D68&gt;=_xlfn.PERCENTILE.INC($D$2:$D$288,0.8),5,D68&gt;=_xlfn.PERCENTILE.INC($D$2:$D$288,0.6),4,D68&gt;=_xlfn.PERCENTILE.INC($D$2:$D$288,0.4),3,D68&gt;=_xlfn.PERCENTILE.INC($D$2:$D$288,0.2),2,D68&lt;_xlfn.PERCENTILE.INC($D$2:$D$288,0.2),1)</f>
        <v>1</v>
      </c>
      <c r="H68">
        <f t="shared" si="1"/>
        <v>7</v>
      </c>
      <c r="I68" t="str" cm="1">
        <f t="array" ref="I68">_xlfn.IFS(H68&gt;=13,"Best Customers",H68&gt;=10,"Loyal Customers",H68&gt;=7,"Potential Loyal Customers",H68&gt;=4,"Need Attention",TRUE,"At Risk")</f>
        <v>Potential Loyal Customers</v>
      </c>
    </row>
    <row r="69" spans="1:9">
      <c r="A69" t="s">
        <v>682</v>
      </c>
      <c r="B69" s="4">
        <v>209.65699074073927</v>
      </c>
      <c r="C69">
        <v>5</v>
      </c>
      <c r="D69">
        <v>41.33</v>
      </c>
      <c r="E69" s="5" cm="1">
        <f t="array" ref="E69">_xlfn.IFS(B69&lt;=_xlfn.PERCENTILE.INC($B$2:$B$288,0.2),5,B69&lt;=_xlfn.PERCENTILE.INC($B$2:$B$288,0.4),4,B69&lt;=_xlfn.PERCENTILE.INC($B$2:$B$288,0.6),3,B69&lt;=_xlfn.PERCENTILE.INC($B$2:$B$288,0.8),2,B69&gt;_xlfn.PERCENTILE.INC($B$2:$B$288,0.8),1)</f>
        <v>1</v>
      </c>
      <c r="F69" cm="1">
        <f t="array" ref="F69">_xlfn.IFS(C69&gt;=_xlfn.PERCENTILE.INC($C$2:$C$288,0.8),5,C69&gt;=_xlfn.PERCENTILE.INC($C$2:$C$288,0.6),4,C69&gt;=_xlfn.PERCENTILE.INC($C$2:$C$288,0.4),3,C69&gt;=_xlfn.PERCENTILE.INC($C$2:$C$288,0.2),2,C69&lt;_xlfn.PERCENTILE.INC($C$2:$C$288,0.2),1)</f>
        <v>5</v>
      </c>
      <c r="G69" cm="1">
        <f t="array" ref="G69">_xlfn.IFS(D69&gt;=_xlfn.PERCENTILE.INC($D$2:$D$288,0.8),5,D69&gt;=_xlfn.PERCENTILE.INC($D$2:$D$288,0.6),4,D69&gt;=_xlfn.PERCENTILE.INC($D$2:$D$288,0.4),3,D69&gt;=_xlfn.PERCENTILE.INC($D$2:$D$288,0.2),2,D69&lt;_xlfn.PERCENTILE.INC($D$2:$D$288,0.2),1)</f>
        <v>2</v>
      </c>
      <c r="H69">
        <f t="shared" si="1"/>
        <v>8</v>
      </c>
      <c r="I69" t="str" cm="1">
        <f t="array" ref="I69">_xlfn.IFS(H69&gt;=13,"Best Customers",H69&gt;=10,"Loyal Customers",H69&gt;=7,"Potential Loyal Customers",H69&gt;=4,"Need Attention",TRUE,"At Risk")</f>
        <v>Potential Loyal Customers</v>
      </c>
    </row>
    <row r="70" spans="1:9">
      <c r="A70" t="s">
        <v>537</v>
      </c>
      <c r="B70" s="4">
        <v>190.65699074073927</v>
      </c>
      <c r="C70">
        <v>5</v>
      </c>
      <c r="D70">
        <v>142.38</v>
      </c>
      <c r="E70" s="5" cm="1">
        <f t="array" ref="E70">_xlfn.IFS(B70&lt;=_xlfn.PERCENTILE.INC($B$2:$B$288,0.2),5,B70&lt;=_xlfn.PERCENTILE.INC($B$2:$B$288,0.4),4,B70&lt;=_xlfn.PERCENTILE.INC($B$2:$B$288,0.6),3,B70&lt;=_xlfn.PERCENTILE.INC($B$2:$B$288,0.8),2,B70&gt;_xlfn.PERCENTILE.INC($B$2:$B$288,0.8),1)</f>
        <v>1</v>
      </c>
      <c r="F70" cm="1">
        <f t="array" ref="F70">_xlfn.IFS(C70&gt;=_xlfn.PERCENTILE.INC($C$2:$C$288,0.8),5,C70&gt;=_xlfn.PERCENTILE.INC($C$2:$C$288,0.6),4,C70&gt;=_xlfn.PERCENTILE.INC($C$2:$C$288,0.4),3,C70&gt;=_xlfn.PERCENTILE.INC($C$2:$C$288,0.2),2,C70&lt;_xlfn.PERCENTILE.INC($C$2:$C$288,0.2),1)</f>
        <v>5</v>
      </c>
      <c r="G70" cm="1">
        <f t="array" ref="G70">_xlfn.IFS(D70&gt;=_xlfn.PERCENTILE.INC($D$2:$D$288,0.8),5,D70&gt;=_xlfn.PERCENTILE.INC($D$2:$D$288,0.6),4,D70&gt;=_xlfn.PERCENTILE.INC($D$2:$D$288,0.4),3,D70&gt;=_xlfn.PERCENTILE.INC($D$2:$D$288,0.2),2,D70&lt;_xlfn.PERCENTILE.INC($D$2:$D$288,0.2),1)</f>
        <v>5</v>
      </c>
      <c r="H70">
        <f t="shared" si="1"/>
        <v>11</v>
      </c>
      <c r="I70" t="str" cm="1">
        <f t="array" ref="I70">_xlfn.IFS(H70&gt;=13,"Best Customers",H70&gt;=10,"Loyal Customers",H70&gt;=7,"Potential Loyal Customers",H70&gt;=4,"Need Attention",TRUE,"At Risk")</f>
        <v>Loyal Customers</v>
      </c>
    </row>
    <row r="71" spans="1:9">
      <c r="A71" t="s">
        <v>811</v>
      </c>
      <c r="B71" s="4">
        <v>192.65699074073927</v>
      </c>
      <c r="C71">
        <v>2</v>
      </c>
      <c r="D71">
        <v>20.810000000000002</v>
      </c>
      <c r="E71" s="5" cm="1">
        <f t="array" ref="E71">_xlfn.IFS(B71&lt;=_xlfn.PERCENTILE.INC($B$2:$B$288,0.2),5,B71&lt;=_xlfn.PERCENTILE.INC($B$2:$B$288,0.4),4,B71&lt;=_xlfn.PERCENTILE.INC($B$2:$B$288,0.6),3,B71&lt;=_xlfn.PERCENTILE.INC($B$2:$B$288,0.8),2,B71&gt;_xlfn.PERCENTILE.INC($B$2:$B$288,0.8),1)</f>
        <v>1</v>
      </c>
      <c r="F71" cm="1">
        <f t="array" ref="F71">_xlfn.IFS(C71&gt;=_xlfn.PERCENTILE.INC($C$2:$C$288,0.8),5,C71&gt;=_xlfn.PERCENTILE.INC($C$2:$C$288,0.6),4,C71&gt;=_xlfn.PERCENTILE.INC($C$2:$C$288,0.4),3,C71&gt;=_xlfn.PERCENTILE.INC($C$2:$C$288,0.2),2,C71&lt;_xlfn.PERCENTILE.INC($C$2:$C$288,0.2),1)</f>
        <v>2</v>
      </c>
      <c r="G71" cm="1">
        <f t="array" ref="G71">_xlfn.IFS(D71&gt;=_xlfn.PERCENTILE.INC($D$2:$D$288,0.8),5,D71&gt;=_xlfn.PERCENTILE.INC($D$2:$D$288,0.6),4,D71&gt;=_xlfn.PERCENTILE.INC($D$2:$D$288,0.4),3,D71&gt;=_xlfn.PERCENTILE.INC($D$2:$D$288,0.2),2,D71&lt;_xlfn.PERCENTILE.INC($D$2:$D$288,0.2),1)</f>
        <v>1</v>
      </c>
      <c r="H71">
        <f t="shared" si="1"/>
        <v>4</v>
      </c>
      <c r="I71" t="str" cm="1">
        <f t="array" ref="I71">_xlfn.IFS(H71&gt;=13,"Best Customers",H71&gt;=10,"Loyal Customers",H71&gt;=7,"Potential Loyal Customers",H71&gt;=4,"Need Attention",TRUE,"At Risk")</f>
        <v>Need Attention</v>
      </c>
    </row>
    <row r="72" spans="1:9">
      <c r="A72" t="s">
        <v>260</v>
      </c>
      <c r="B72" s="4">
        <v>151.65699074073927</v>
      </c>
      <c r="C72">
        <v>3</v>
      </c>
      <c r="D72">
        <v>60.87</v>
      </c>
      <c r="E72" s="5" cm="1">
        <f t="array" ref="E72">_xlfn.IFS(B72&lt;=_xlfn.PERCENTILE.INC($B$2:$B$288,0.2),5,B72&lt;=_xlfn.PERCENTILE.INC($B$2:$B$288,0.4),4,B72&lt;=_xlfn.PERCENTILE.INC($B$2:$B$288,0.6),3,B72&lt;=_xlfn.PERCENTILE.INC($B$2:$B$288,0.8),2,B72&gt;_xlfn.PERCENTILE.INC($B$2:$B$288,0.8),1)</f>
        <v>2</v>
      </c>
      <c r="F72" cm="1">
        <f t="array" ref="F72">_xlfn.IFS(C72&gt;=_xlfn.PERCENTILE.INC($C$2:$C$288,0.8),5,C72&gt;=_xlfn.PERCENTILE.INC($C$2:$C$288,0.6),4,C72&gt;=_xlfn.PERCENTILE.INC($C$2:$C$288,0.4),3,C72&gt;=_xlfn.PERCENTILE.INC($C$2:$C$288,0.2),2,C72&lt;_xlfn.PERCENTILE.INC($C$2:$C$288,0.2),1)</f>
        <v>3</v>
      </c>
      <c r="G72" cm="1">
        <f t="array" ref="G72">_xlfn.IFS(D72&gt;=_xlfn.PERCENTILE.INC($D$2:$D$288,0.8),5,D72&gt;=_xlfn.PERCENTILE.INC($D$2:$D$288,0.6),4,D72&gt;=_xlfn.PERCENTILE.INC($D$2:$D$288,0.4),3,D72&gt;=_xlfn.PERCENTILE.INC($D$2:$D$288,0.2),2,D72&lt;_xlfn.PERCENTILE.INC($D$2:$D$288,0.2),1)</f>
        <v>3</v>
      </c>
      <c r="H72">
        <f t="shared" si="1"/>
        <v>8</v>
      </c>
      <c r="I72" t="str" cm="1">
        <f t="array" ref="I72">_xlfn.IFS(H72&gt;=13,"Best Customers",H72&gt;=10,"Loyal Customers",H72&gt;=7,"Potential Loyal Customers",H72&gt;=4,"Need Attention",TRUE,"At Risk")</f>
        <v>Potential Loyal Customers</v>
      </c>
    </row>
    <row r="73" spans="1:9">
      <c r="A73" t="s">
        <v>52</v>
      </c>
      <c r="B73" s="4">
        <v>88.656990740739275</v>
      </c>
      <c r="C73">
        <v>5</v>
      </c>
      <c r="D73">
        <v>75.69</v>
      </c>
      <c r="E73" s="5" cm="1">
        <f t="array" ref="E73">_xlfn.IFS(B73&lt;=_xlfn.PERCENTILE.INC($B$2:$B$288,0.2),5,B73&lt;=_xlfn.PERCENTILE.INC($B$2:$B$288,0.4),4,B73&lt;=_xlfn.PERCENTILE.INC($B$2:$B$288,0.6),3,B73&lt;=_xlfn.PERCENTILE.INC($B$2:$B$288,0.8),2,B73&gt;_xlfn.PERCENTILE.INC($B$2:$B$288,0.8),1)</f>
        <v>3</v>
      </c>
      <c r="F73" cm="1">
        <f t="array" ref="F73">_xlfn.IFS(C73&gt;=_xlfn.PERCENTILE.INC($C$2:$C$288,0.8),5,C73&gt;=_xlfn.PERCENTILE.INC($C$2:$C$288,0.6),4,C73&gt;=_xlfn.PERCENTILE.INC($C$2:$C$288,0.4),3,C73&gt;=_xlfn.PERCENTILE.INC($C$2:$C$288,0.2),2,C73&lt;_xlfn.PERCENTILE.INC($C$2:$C$288,0.2),1)</f>
        <v>5</v>
      </c>
      <c r="G73" cm="1">
        <f t="array" ref="G73">_xlfn.IFS(D73&gt;=_xlfn.PERCENTILE.INC($D$2:$D$288,0.8),5,D73&gt;=_xlfn.PERCENTILE.INC($D$2:$D$288,0.6),4,D73&gt;=_xlfn.PERCENTILE.INC($D$2:$D$288,0.4),3,D73&gt;=_xlfn.PERCENTILE.INC($D$2:$D$288,0.2),2,D73&lt;_xlfn.PERCENTILE.INC($D$2:$D$288,0.2),1)</f>
        <v>4</v>
      </c>
      <c r="H73">
        <f t="shared" si="1"/>
        <v>12</v>
      </c>
      <c r="I73" t="str" cm="1">
        <f t="array" ref="I73">_xlfn.IFS(H73&gt;=13,"Best Customers",H73&gt;=10,"Loyal Customers",H73&gt;=7,"Potential Loyal Customers",H73&gt;=4,"Need Attention",TRUE,"At Risk")</f>
        <v>Loyal Customers</v>
      </c>
    </row>
    <row r="74" spans="1:9">
      <c r="A74" t="s">
        <v>795</v>
      </c>
      <c r="B74" s="4">
        <v>129.65699074073927</v>
      </c>
      <c r="C74">
        <v>4</v>
      </c>
      <c r="D74">
        <v>91.19</v>
      </c>
      <c r="E74" s="5" cm="1">
        <f t="array" ref="E74">_xlfn.IFS(B74&lt;=_xlfn.PERCENTILE.INC($B$2:$B$288,0.2),5,B74&lt;=_xlfn.PERCENTILE.INC($B$2:$B$288,0.4),4,B74&lt;=_xlfn.PERCENTILE.INC($B$2:$B$288,0.6),3,B74&lt;=_xlfn.PERCENTILE.INC($B$2:$B$288,0.8),2,B74&gt;_xlfn.PERCENTILE.INC($B$2:$B$288,0.8),1)</f>
        <v>2</v>
      </c>
      <c r="F74" cm="1">
        <f t="array" ref="F74">_xlfn.IFS(C74&gt;=_xlfn.PERCENTILE.INC($C$2:$C$288,0.8),5,C74&gt;=_xlfn.PERCENTILE.INC($C$2:$C$288,0.6),4,C74&gt;=_xlfn.PERCENTILE.INC($C$2:$C$288,0.4),3,C74&gt;=_xlfn.PERCENTILE.INC($C$2:$C$288,0.2),2,C74&lt;_xlfn.PERCENTILE.INC($C$2:$C$288,0.2),1)</f>
        <v>4</v>
      </c>
      <c r="G74" cm="1">
        <f t="array" ref="G74">_xlfn.IFS(D74&gt;=_xlfn.PERCENTILE.INC($D$2:$D$288,0.8),5,D74&gt;=_xlfn.PERCENTILE.INC($D$2:$D$288,0.6),4,D74&gt;=_xlfn.PERCENTILE.INC($D$2:$D$288,0.4),3,D74&gt;=_xlfn.PERCENTILE.INC($D$2:$D$288,0.2),2,D74&lt;_xlfn.PERCENTILE.INC($D$2:$D$288,0.2),1)</f>
        <v>5</v>
      </c>
      <c r="H74">
        <f t="shared" si="1"/>
        <v>11</v>
      </c>
      <c r="I74" t="str" cm="1">
        <f t="array" ref="I74">_xlfn.IFS(H74&gt;=13,"Best Customers",H74&gt;=10,"Loyal Customers",H74&gt;=7,"Potential Loyal Customers",H74&gt;=4,"Need Attention",TRUE,"At Risk")</f>
        <v>Loyal Customers</v>
      </c>
    </row>
    <row r="75" spans="1:9">
      <c r="A75" t="s">
        <v>78</v>
      </c>
      <c r="B75" s="4">
        <v>23.656990740739275</v>
      </c>
      <c r="C75">
        <v>3</v>
      </c>
      <c r="D75">
        <v>70.13</v>
      </c>
      <c r="E75" s="5" cm="1">
        <f t="array" ref="E75">_xlfn.IFS(B75&lt;=_xlfn.PERCENTILE.INC($B$2:$B$288,0.2),5,B75&lt;=_xlfn.PERCENTILE.INC($B$2:$B$288,0.4),4,B75&lt;=_xlfn.PERCENTILE.INC($B$2:$B$288,0.6),3,B75&lt;=_xlfn.PERCENTILE.INC($B$2:$B$288,0.8),2,B75&gt;_xlfn.PERCENTILE.INC($B$2:$B$288,0.8),1)</f>
        <v>5</v>
      </c>
      <c r="F75" cm="1">
        <f t="array" ref="F75">_xlfn.IFS(C75&gt;=_xlfn.PERCENTILE.INC($C$2:$C$288,0.8),5,C75&gt;=_xlfn.PERCENTILE.INC($C$2:$C$288,0.6),4,C75&gt;=_xlfn.PERCENTILE.INC($C$2:$C$288,0.4),3,C75&gt;=_xlfn.PERCENTILE.INC($C$2:$C$288,0.2),2,C75&lt;_xlfn.PERCENTILE.INC($C$2:$C$288,0.2),1)</f>
        <v>3</v>
      </c>
      <c r="G75" cm="1">
        <f t="array" ref="G75">_xlfn.IFS(D75&gt;=_xlfn.PERCENTILE.INC($D$2:$D$288,0.8),5,D75&gt;=_xlfn.PERCENTILE.INC($D$2:$D$288,0.6),4,D75&gt;=_xlfn.PERCENTILE.INC($D$2:$D$288,0.4),3,D75&gt;=_xlfn.PERCENTILE.INC($D$2:$D$288,0.2),2,D75&lt;_xlfn.PERCENTILE.INC($D$2:$D$288,0.2),1)</f>
        <v>4</v>
      </c>
      <c r="H75">
        <f t="shared" si="1"/>
        <v>12</v>
      </c>
      <c r="I75" t="str" cm="1">
        <f t="array" ref="I75">_xlfn.IFS(H75&gt;=13,"Best Customers",H75&gt;=10,"Loyal Customers",H75&gt;=7,"Potential Loyal Customers",H75&gt;=4,"Need Attention",TRUE,"At Risk")</f>
        <v>Loyal Customers</v>
      </c>
    </row>
    <row r="76" spans="1:9">
      <c r="A76" t="s">
        <v>846</v>
      </c>
      <c r="B76" s="4">
        <v>40.656990740739275</v>
      </c>
      <c r="C76">
        <v>2</v>
      </c>
      <c r="D76">
        <v>38.49</v>
      </c>
      <c r="E76" s="5" cm="1">
        <f t="array" ref="E76">_xlfn.IFS(B76&lt;=_xlfn.PERCENTILE.INC($B$2:$B$288,0.2),5,B76&lt;=_xlfn.PERCENTILE.INC($B$2:$B$288,0.4),4,B76&lt;=_xlfn.PERCENTILE.INC($B$2:$B$288,0.6),3,B76&lt;=_xlfn.PERCENTILE.INC($B$2:$B$288,0.8),2,B76&gt;_xlfn.PERCENTILE.INC($B$2:$B$288,0.8),1)</f>
        <v>5</v>
      </c>
      <c r="F76" cm="1">
        <f t="array" ref="F76">_xlfn.IFS(C76&gt;=_xlfn.PERCENTILE.INC($C$2:$C$288,0.8),5,C76&gt;=_xlfn.PERCENTILE.INC($C$2:$C$288,0.6),4,C76&gt;=_xlfn.PERCENTILE.INC($C$2:$C$288,0.4),3,C76&gt;=_xlfn.PERCENTILE.INC($C$2:$C$288,0.2),2,C76&lt;_xlfn.PERCENTILE.INC($C$2:$C$288,0.2),1)</f>
        <v>2</v>
      </c>
      <c r="G76" cm="1">
        <f t="array" ref="G76">_xlfn.IFS(D76&gt;=_xlfn.PERCENTILE.INC($D$2:$D$288,0.8),5,D76&gt;=_xlfn.PERCENTILE.INC($D$2:$D$288,0.6),4,D76&gt;=_xlfn.PERCENTILE.INC($D$2:$D$288,0.4),3,D76&gt;=_xlfn.PERCENTILE.INC($D$2:$D$288,0.2),2,D76&lt;_xlfn.PERCENTILE.INC($D$2:$D$288,0.2),1)</f>
        <v>2</v>
      </c>
      <c r="H76">
        <f t="shared" si="1"/>
        <v>9</v>
      </c>
      <c r="I76" t="str" cm="1">
        <f t="array" ref="I76">_xlfn.IFS(H76&gt;=13,"Best Customers",H76&gt;=10,"Loyal Customers",H76&gt;=7,"Potential Loyal Customers",H76&gt;=4,"Need Attention",TRUE,"At Risk")</f>
        <v>Potential Loyal Customers</v>
      </c>
    </row>
    <row r="77" spans="1:9">
      <c r="A77" t="s">
        <v>571</v>
      </c>
      <c r="B77" s="4">
        <v>79.656990740739275</v>
      </c>
      <c r="C77">
        <v>3</v>
      </c>
      <c r="D77">
        <v>80.930000000000007</v>
      </c>
      <c r="E77" s="5" cm="1">
        <f t="array" ref="E77">_xlfn.IFS(B77&lt;=_xlfn.PERCENTILE.INC($B$2:$B$288,0.2),5,B77&lt;=_xlfn.PERCENTILE.INC($B$2:$B$288,0.4),4,B77&lt;=_xlfn.PERCENTILE.INC($B$2:$B$288,0.6),3,B77&lt;=_xlfn.PERCENTILE.INC($B$2:$B$288,0.8),2,B77&gt;_xlfn.PERCENTILE.INC($B$2:$B$288,0.8),1)</f>
        <v>3</v>
      </c>
      <c r="F77" cm="1">
        <f t="array" ref="F77">_xlfn.IFS(C77&gt;=_xlfn.PERCENTILE.INC($C$2:$C$288,0.8),5,C77&gt;=_xlfn.PERCENTILE.INC($C$2:$C$288,0.6),4,C77&gt;=_xlfn.PERCENTILE.INC($C$2:$C$288,0.4),3,C77&gt;=_xlfn.PERCENTILE.INC($C$2:$C$288,0.2),2,C77&lt;_xlfn.PERCENTILE.INC($C$2:$C$288,0.2),1)</f>
        <v>3</v>
      </c>
      <c r="G77" cm="1">
        <f t="array" ref="G77">_xlfn.IFS(D77&gt;=_xlfn.PERCENTILE.INC($D$2:$D$288,0.8),5,D77&gt;=_xlfn.PERCENTILE.INC($D$2:$D$288,0.6),4,D77&gt;=_xlfn.PERCENTILE.INC($D$2:$D$288,0.4),3,D77&gt;=_xlfn.PERCENTILE.INC($D$2:$D$288,0.2),2,D77&lt;_xlfn.PERCENTILE.INC($D$2:$D$288,0.2),1)</f>
        <v>4</v>
      </c>
      <c r="H77">
        <f t="shared" si="1"/>
        <v>10</v>
      </c>
      <c r="I77" t="str" cm="1">
        <f t="array" ref="I77">_xlfn.IFS(H77&gt;=13,"Best Customers",H77&gt;=10,"Loyal Customers",H77&gt;=7,"Potential Loyal Customers",H77&gt;=4,"Need Attention",TRUE,"At Risk")</f>
        <v>Loyal Customers</v>
      </c>
    </row>
    <row r="78" spans="1:9">
      <c r="A78" t="s">
        <v>424</v>
      </c>
      <c r="B78" s="4">
        <v>234.65699074073927</v>
      </c>
      <c r="C78">
        <v>3</v>
      </c>
      <c r="D78">
        <v>52.34</v>
      </c>
      <c r="E78" s="5" cm="1">
        <f t="array" ref="E78">_xlfn.IFS(B78&lt;=_xlfn.PERCENTILE.INC($B$2:$B$288,0.2),5,B78&lt;=_xlfn.PERCENTILE.INC($B$2:$B$288,0.4),4,B78&lt;=_xlfn.PERCENTILE.INC($B$2:$B$288,0.6),3,B78&lt;=_xlfn.PERCENTILE.INC($B$2:$B$288,0.8),2,B78&gt;_xlfn.PERCENTILE.INC($B$2:$B$288,0.8),1)</f>
        <v>1</v>
      </c>
      <c r="F78" cm="1">
        <f t="array" ref="F78">_xlfn.IFS(C78&gt;=_xlfn.PERCENTILE.INC($C$2:$C$288,0.8),5,C78&gt;=_xlfn.PERCENTILE.INC($C$2:$C$288,0.6),4,C78&gt;=_xlfn.PERCENTILE.INC($C$2:$C$288,0.4),3,C78&gt;=_xlfn.PERCENTILE.INC($C$2:$C$288,0.2),2,C78&lt;_xlfn.PERCENTILE.INC($C$2:$C$288,0.2),1)</f>
        <v>3</v>
      </c>
      <c r="G78" cm="1">
        <f t="array" ref="G78">_xlfn.IFS(D78&gt;=_xlfn.PERCENTILE.INC($D$2:$D$288,0.8),5,D78&gt;=_xlfn.PERCENTILE.INC($D$2:$D$288,0.6),4,D78&gt;=_xlfn.PERCENTILE.INC($D$2:$D$288,0.4),3,D78&gt;=_xlfn.PERCENTILE.INC($D$2:$D$288,0.2),2,D78&lt;_xlfn.PERCENTILE.INC($D$2:$D$288,0.2),1)</f>
        <v>3</v>
      </c>
      <c r="H78">
        <f t="shared" si="1"/>
        <v>7</v>
      </c>
      <c r="I78" t="str" cm="1">
        <f t="array" ref="I78">_xlfn.IFS(H78&gt;=13,"Best Customers",H78&gt;=10,"Loyal Customers",H78&gt;=7,"Potential Loyal Customers",H78&gt;=4,"Need Attention",TRUE,"At Risk")</f>
        <v>Potential Loyal Customers</v>
      </c>
    </row>
    <row r="79" spans="1:9">
      <c r="A79" t="s">
        <v>398</v>
      </c>
      <c r="B79" s="4">
        <v>17.656990740739275</v>
      </c>
      <c r="C79">
        <v>5</v>
      </c>
      <c r="D79">
        <v>88.89</v>
      </c>
      <c r="E79" s="5" cm="1">
        <f t="array" ref="E79">_xlfn.IFS(B79&lt;=_xlfn.PERCENTILE.INC($B$2:$B$288,0.2),5,B79&lt;=_xlfn.PERCENTILE.INC($B$2:$B$288,0.4),4,B79&lt;=_xlfn.PERCENTILE.INC($B$2:$B$288,0.6),3,B79&lt;=_xlfn.PERCENTILE.INC($B$2:$B$288,0.8),2,B79&gt;_xlfn.PERCENTILE.INC($B$2:$B$288,0.8),1)</f>
        <v>5</v>
      </c>
      <c r="F79" cm="1">
        <f t="array" ref="F79">_xlfn.IFS(C79&gt;=_xlfn.PERCENTILE.INC($C$2:$C$288,0.8),5,C79&gt;=_xlfn.PERCENTILE.INC($C$2:$C$288,0.6),4,C79&gt;=_xlfn.PERCENTILE.INC($C$2:$C$288,0.4),3,C79&gt;=_xlfn.PERCENTILE.INC($C$2:$C$288,0.2),2,C79&lt;_xlfn.PERCENTILE.INC($C$2:$C$288,0.2),1)</f>
        <v>5</v>
      </c>
      <c r="G79" cm="1">
        <f t="array" ref="G79">_xlfn.IFS(D79&gt;=_xlfn.PERCENTILE.INC($D$2:$D$288,0.8),5,D79&gt;=_xlfn.PERCENTILE.INC($D$2:$D$288,0.6),4,D79&gt;=_xlfn.PERCENTILE.INC($D$2:$D$288,0.4),3,D79&gt;=_xlfn.PERCENTILE.INC($D$2:$D$288,0.2),2,D79&lt;_xlfn.PERCENTILE.INC($D$2:$D$288,0.2),1)</f>
        <v>4</v>
      </c>
      <c r="H79">
        <f t="shared" si="1"/>
        <v>14</v>
      </c>
      <c r="I79" t="str" cm="1">
        <f t="array" ref="I79">_xlfn.IFS(H79&gt;=13,"Best Customers",H79&gt;=10,"Loyal Customers",H79&gt;=7,"Potential Loyal Customers",H79&gt;=4,"Need Attention",TRUE,"At Risk")</f>
        <v>Best Customers</v>
      </c>
    </row>
    <row r="80" spans="1:9">
      <c r="A80" t="s">
        <v>31</v>
      </c>
      <c r="B80" s="4">
        <v>51.656990740739275</v>
      </c>
      <c r="C80">
        <v>8</v>
      </c>
      <c r="D80">
        <v>123.51</v>
      </c>
      <c r="E80" s="5" cm="1">
        <f t="array" ref="E80">_xlfn.IFS(B80&lt;=_xlfn.PERCENTILE.INC($B$2:$B$288,0.2),5,B80&lt;=_xlfn.PERCENTILE.INC($B$2:$B$288,0.4),4,B80&lt;=_xlfn.PERCENTILE.INC($B$2:$B$288,0.6),3,B80&lt;=_xlfn.PERCENTILE.INC($B$2:$B$288,0.8),2,B80&gt;_xlfn.PERCENTILE.INC($B$2:$B$288,0.8),1)</f>
        <v>4</v>
      </c>
      <c r="F80" cm="1">
        <f t="array" ref="F80">_xlfn.IFS(C80&gt;=_xlfn.PERCENTILE.INC($C$2:$C$288,0.8),5,C80&gt;=_xlfn.PERCENTILE.INC($C$2:$C$288,0.6),4,C80&gt;=_xlfn.PERCENTILE.INC($C$2:$C$288,0.4),3,C80&gt;=_xlfn.PERCENTILE.INC($C$2:$C$288,0.2),2,C80&lt;_xlfn.PERCENTILE.INC($C$2:$C$288,0.2),1)</f>
        <v>5</v>
      </c>
      <c r="G80" cm="1">
        <f t="array" ref="G80">_xlfn.IFS(D80&gt;=_xlfn.PERCENTILE.INC($D$2:$D$288,0.8),5,D80&gt;=_xlfn.PERCENTILE.INC($D$2:$D$288,0.6),4,D80&gt;=_xlfn.PERCENTILE.INC($D$2:$D$288,0.4),3,D80&gt;=_xlfn.PERCENTILE.INC($D$2:$D$288,0.2),2,D80&lt;_xlfn.PERCENTILE.INC($D$2:$D$288,0.2),1)</f>
        <v>5</v>
      </c>
      <c r="H80">
        <f t="shared" si="1"/>
        <v>14</v>
      </c>
      <c r="I80" t="str" cm="1">
        <f t="array" ref="I80">_xlfn.IFS(H80&gt;=13,"Best Customers",H80&gt;=10,"Loyal Customers",H80&gt;=7,"Potential Loyal Customers",H80&gt;=4,"Need Attention",TRUE,"At Risk")</f>
        <v>Best Customers</v>
      </c>
    </row>
    <row r="81" spans="1:9">
      <c r="A81" t="s">
        <v>387</v>
      </c>
      <c r="B81" s="4">
        <v>198.65699074073927</v>
      </c>
      <c r="C81">
        <v>2</v>
      </c>
      <c r="D81">
        <v>41.95</v>
      </c>
      <c r="E81" s="5" cm="1">
        <f t="array" ref="E81">_xlfn.IFS(B81&lt;=_xlfn.PERCENTILE.INC($B$2:$B$288,0.2),5,B81&lt;=_xlfn.PERCENTILE.INC($B$2:$B$288,0.4),4,B81&lt;=_xlfn.PERCENTILE.INC($B$2:$B$288,0.6),3,B81&lt;=_xlfn.PERCENTILE.INC($B$2:$B$288,0.8),2,B81&gt;_xlfn.PERCENTILE.INC($B$2:$B$288,0.8),1)</f>
        <v>1</v>
      </c>
      <c r="F81" cm="1">
        <f t="array" ref="F81">_xlfn.IFS(C81&gt;=_xlfn.PERCENTILE.INC($C$2:$C$288,0.8),5,C81&gt;=_xlfn.PERCENTILE.INC($C$2:$C$288,0.6),4,C81&gt;=_xlfn.PERCENTILE.INC($C$2:$C$288,0.4),3,C81&gt;=_xlfn.PERCENTILE.INC($C$2:$C$288,0.2),2,C81&lt;_xlfn.PERCENTILE.INC($C$2:$C$288,0.2),1)</f>
        <v>2</v>
      </c>
      <c r="G81" cm="1">
        <f t="array" ref="G81">_xlfn.IFS(D81&gt;=_xlfn.PERCENTILE.INC($D$2:$D$288,0.8),5,D81&gt;=_xlfn.PERCENTILE.INC($D$2:$D$288,0.6),4,D81&gt;=_xlfn.PERCENTILE.INC($D$2:$D$288,0.4),3,D81&gt;=_xlfn.PERCENTILE.INC($D$2:$D$288,0.2),2,D81&lt;_xlfn.PERCENTILE.INC($D$2:$D$288,0.2),1)</f>
        <v>2</v>
      </c>
      <c r="H81">
        <f t="shared" si="1"/>
        <v>5</v>
      </c>
      <c r="I81" t="str" cm="1">
        <f t="array" ref="I81">_xlfn.IFS(H81&gt;=13,"Best Customers",H81&gt;=10,"Loyal Customers",H81&gt;=7,"Potential Loyal Customers",H81&gt;=4,"Need Attention",TRUE,"At Risk")</f>
        <v>Need Attention</v>
      </c>
    </row>
    <row r="82" spans="1:9">
      <c r="A82" t="s">
        <v>147</v>
      </c>
      <c r="B82" s="4">
        <v>56.656990740739275</v>
      </c>
      <c r="C82">
        <v>4</v>
      </c>
      <c r="D82">
        <v>30.27</v>
      </c>
      <c r="E82" s="5" cm="1">
        <f t="array" ref="E82">_xlfn.IFS(B82&lt;=_xlfn.PERCENTILE.INC($B$2:$B$288,0.2),5,B82&lt;=_xlfn.PERCENTILE.INC($B$2:$B$288,0.4),4,B82&lt;=_xlfn.PERCENTILE.INC($B$2:$B$288,0.6),3,B82&lt;=_xlfn.PERCENTILE.INC($B$2:$B$288,0.8),2,B82&gt;_xlfn.PERCENTILE.INC($B$2:$B$288,0.8),1)</f>
        <v>4</v>
      </c>
      <c r="F82" cm="1">
        <f t="array" ref="F82">_xlfn.IFS(C82&gt;=_xlfn.PERCENTILE.INC($C$2:$C$288,0.8),5,C82&gt;=_xlfn.PERCENTILE.INC($C$2:$C$288,0.6),4,C82&gt;=_xlfn.PERCENTILE.INC($C$2:$C$288,0.4),3,C82&gt;=_xlfn.PERCENTILE.INC($C$2:$C$288,0.2),2,C82&lt;_xlfn.PERCENTILE.INC($C$2:$C$288,0.2),1)</f>
        <v>4</v>
      </c>
      <c r="G82" cm="1">
        <f t="array" ref="G82">_xlfn.IFS(D82&gt;=_xlfn.PERCENTILE.INC($D$2:$D$288,0.8),5,D82&gt;=_xlfn.PERCENTILE.INC($D$2:$D$288,0.6),4,D82&gt;=_xlfn.PERCENTILE.INC($D$2:$D$288,0.4),3,D82&gt;=_xlfn.PERCENTILE.INC($D$2:$D$288,0.2),2,D82&lt;_xlfn.PERCENTILE.INC($D$2:$D$288,0.2),1)</f>
        <v>2</v>
      </c>
      <c r="H82">
        <f t="shared" si="1"/>
        <v>10</v>
      </c>
      <c r="I82" t="str" cm="1">
        <f t="array" ref="I82">_xlfn.IFS(H82&gt;=13,"Best Customers",H82&gt;=10,"Loyal Customers",H82&gt;=7,"Potential Loyal Customers",H82&gt;=4,"Need Attention",TRUE,"At Risk")</f>
        <v>Loyal Customers</v>
      </c>
    </row>
    <row r="83" spans="1:9">
      <c r="A83" t="s">
        <v>344</v>
      </c>
      <c r="B83" s="4">
        <v>162.65699074073927</v>
      </c>
      <c r="C83">
        <v>4</v>
      </c>
      <c r="D83">
        <v>57.61</v>
      </c>
      <c r="E83" s="5" cm="1">
        <f t="array" ref="E83">_xlfn.IFS(B83&lt;=_xlfn.PERCENTILE.INC($B$2:$B$288,0.2),5,B83&lt;=_xlfn.PERCENTILE.INC($B$2:$B$288,0.4),4,B83&lt;=_xlfn.PERCENTILE.INC($B$2:$B$288,0.6),3,B83&lt;=_xlfn.PERCENTILE.INC($B$2:$B$288,0.8),2,B83&gt;_xlfn.PERCENTILE.INC($B$2:$B$288,0.8),1)</f>
        <v>2</v>
      </c>
      <c r="F83" cm="1">
        <f t="array" ref="F83">_xlfn.IFS(C83&gt;=_xlfn.PERCENTILE.INC($C$2:$C$288,0.8),5,C83&gt;=_xlfn.PERCENTILE.INC($C$2:$C$288,0.6),4,C83&gt;=_xlfn.PERCENTILE.INC($C$2:$C$288,0.4),3,C83&gt;=_xlfn.PERCENTILE.INC($C$2:$C$288,0.2),2,C83&lt;_xlfn.PERCENTILE.INC($C$2:$C$288,0.2),1)</f>
        <v>4</v>
      </c>
      <c r="G83" cm="1">
        <f t="array" ref="G83">_xlfn.IFS(D83&gt;=_xlfn.PERCENTILE.INC($D$2:$D$288,0.8),5,D83&gt;=_xlfn.PERCENTILE.INC($D$2:$D$288,0.6),4,D83&gt;=_xlfn.PERCENTILE.INC($D$2:$D$288,0.4),3,D83&gt;=_xlfn.PERCENTILE.INC($D$2:$D$288,0.2),2,D83&lt;_xlfn.PERCENTILE.INC($D$2:$D$288,0.2),1)</f>
        <v>3</v>
      </c>
      <c r="H83">
        <f t="shared" si="1"/>
        <v>9</v>
      </c>
      <c r="I83" t="str" cm="1">
        <f t="array" ref="I83">_xlfn.IFS(H83&gt;=13,"Best Customers",H83&gt;=10,"Loyal Customers",H83&gt;=7,"Potential Loyal Customers",H83&gt;=4,"Need Attention",TRUE,"At Risk")</f>
        <v>Potential Loyal Customers</v>
      </c>
    </row>
    <row r="84" spans="1:9">
      <c r="A84" t="s">
        <v>370</v>
      </c>
      <c r="B84" s="4">
        <v>157.65699074073927</v>
      </c>
      <c r="C84">
        <v>2</v>
      </c>
      <c r="D84">
        <v>21.91</v>
      </c>
      <c r="E84" s="5" cm="1">
        <f t="array" ref="E84">_xlfn.IFS(B84&lt;=_xlfn.PERCENTILE.INC($B$2:$B$288,0.2),5,B84&lt;=_xlfn.PERCENTILE.INC($B$2:$B$288,0.4),4,B84&lt;=_xlfn.PERCENTILE.INC($B$2:$B$288,0.6),3,B84&lt;=_xlfn.PERCENTILE.INC($B$2:$B$288,0.8),2,B84&gt;_xlfn.PERCENTILE.INC($B$2:$B$288,0.8),1)</f>
        <v>2</v>
      </c>
      <c r="F84" cm="1">
        <f t="array" ref="F84">_xlfn.IFS(C84&gt;=_xlfn.PERCENTILE.INC($C$2:$C$288,0.8),5,C84&gt;=_xlfn.PERCENTILE.INC($C$2:$C$288,0.6),4,C84&gt;=_xlfn.PERCENTILE.INC($C$2:$C$288,0.4),3,C84&gt;=_xlfn.PERCENTILE.INC($C$2:$C$288,0.2),2,C84&lt;_xlfn.PERCENTILE.INC($C$2:$C$288,0.2),1)</f>
        <v>2</v>
      </c>
      <c r="G84" cm="1">
        <f t="array" ref="G84">_xlfn.IFS(D84&gt;=_xlfn.PERCENTILE.INC($D$2:$D$288,0.8),5,D84&gt;=_xlfn.PERCENTILE.INC($D$2:$D$288,0.6),4,D84&gt;=_xlfn.PERCENTILE.INC($D$2:$D$288,0.4),3,D84&gt;=_xlfn.PERCENTILE.INC($D$2:$D$288,0.2),2,D84&lt;_xlfn.PERCENTILE.INC($D$2:$D$288,0.2),1)</f>
        <v>1</v>
      </c>
      <c r="H84">
        <f t="shared" si="1"/>
        <v>5</v>
      </c>
      <c r="I84" t="str" cm="1">
        <f t="array" ref="I84">_xlfn.IFS(H84&gt;=13,"Best Customers",H84&gt;=10,"Loyal Customers",H84&gt;=7,"Potential Loyal Customers",H84&gt;=4,"Need Attention",TRUE,"At Risk")</f>
        <v>Need Attention</v>
      </c>
    </row>
    <row r="85" spans="1:9">
      <c r="A85" t="s">
        <v>84</v>
      </c>
      <c r="B85" s="4">
        <v>90.656990740739275</v>
      </c>
      <c r="C85">
        <v>6</v>
      </c>
      <c r="D85">
        <v>60.04</v>
      </c>
      <c r="E85" s="5" cm="1">
        <f t="array" ref="E85">_xlfn.IFS(B85&lt;=_xlfn.PERCENTILE.INC($B$2:$B$288,0.2),5,B85&lt;=_xlfn.PERCENTILE.INC($B$2:$B$288,0.4),4,B85&lt;=_xlfn.PERCENTILE.INC($B$2:$B$288,0.6),3,B85&lt;=_xlfn.PERCENTILE.INC($B$2:$B$288,0.8),2,B85&gt;_xlfn.PERCENTILE.INC($B$2:$B$288,0.8),1)</f>
        <v>3</v>
      </c>
      <c r="F85" cm="1">
        <f t="array" ref="F85">_xlfn.IFS(C85&gt;=_xlfn.PERCENTILE.INC($C$2:$C$288,0.8),5,C85&gt;=_xlfn.PERCENTILE.INC($C$2:$C$288,0.6),4,C85&gt;=_xlfn.PERCENTILE.INC($C$2:$C$288,0.4),3,C85&gt;=_xlfn.PERCENTILE.INC($C$2:$C$288,0.2),2,C85&lt;_xlfn.PERCENTILE.INC($C$2:$C$288,0.2),1)</f>
        <v>5</v>
      </c>
      <c r="G85" cm="1">
        <f t="array" ref="G85">_xlfn.IFS(D85&gt;=_xlfn.PERCENTILE.INC($D$2:$D$288,0.8),5,D85&gt;=_xlfn.PERCENTILE.INC($D$2:$D$288,0.6),4,D85&gt;=_xlfn.PERCENTILE.INC($D$2:$D$288,0.4),3,D85&gt;=_xlfn.PERCENTILE.INC($D$2:$D$288,0.2),2,D85&lt;_xlfn.PERCENTILE.INC($D$2:$D$288,0.2),1)</f>
        <v>3</v>
      </c>
      <c r="H85">
        <f t="shared" si="1"/>
        <v>11</v>
      </c>
      <c r="I85" t="str" cm="1">
        <f t="array" ref="I85">_xlfn.IFS(H85&gt;=13,"Best Customers",H85&gt;=10,"Loyal Customers",H85&gt;=7,"Potential Loyal Customers",H85&gt;=4,"Need Attention",TRUE,"At Risk")</f>
        <v>Loyal Customers</v>
      </c>
    </row>
    <row r="86" spans="1:9">
      <c r="A86" t="s">
        <v>258</v>
      </c>
      <c r="B86" s="4">
        <v>30.656990740739275</v>
      </c>
      <c r="C86">
        <v>5</v>
      </c>
      <c r="D86">
        <v>49.970000000000006</v>
      </c>
      <c r="E86" s="5" cm="1">
        <f t="array" ref="E86">_xlfn.IFS(B86&lt;=_xlfn.PERCENTILE.INC($B$2:$B$288,0.2),5,B86&lt;=_xlfn.PERCENTILE.INC($B$2:$B$288,0.4),4,B86&lt;=_xlfn.PERCENTILE.INC($B$2:$B$288,0.6),3,B86&lt;=_xlfn.PERCENTILE.INC($B$2:$B$288,0.8),2,B86&gt;_xlfn.PERCENTILE.INC($B$2:$B$288,0.8),1)</f>
        <v>5</v>
      </c>
      <c r="F86" cm="1">
        <f t="array" ref="F86">_xlfn.IFS(C86&gt;=_xlfn.PERCENTILE.INC($C$2:$C$288,0.8),5,C86&gt;=_xlfn.PERCENTILE.INC($C$2:$C$288,0.6),4,C86&gt;=_xlfn.PERCENTILE.INC($C$2:$C$288,0.4),3,C86&gt;=_xlfn.PERCENTILE.INC($C$2:$C$288,0.2),2,C86&lt;_xlfn.PERCENTILE.INC($C$2:$C$288,0.2),1)</f>
        <v>5</v>
      </c>
      <c r="G86" cm="1">
        <f t="array" ref="G86">_xlfn.IFS(D86&gt;=_xlfn.PERCENTILE.INC($D$2:$D$288,0.8),5,D86&gt;=_xlfn.PERCENTILE.INC($D$2:$D$288,0.6),4,D86&gt;=_xlfn.PERCENTILE.INC($D$2:$D$288,0.4),3,D86&gt;=_xlfn.PERCENTILE.INC($D$2:$D$288,0.2),2,D86&lt;_xlfn.PERCENTILE.INC($D$2:$D$288,0.2),1)</f>
        <v>3</v>
      </c>
      <c r="H86">
        <f t="shared" si="1"/>
        <v>13</v>
      </c>
      <c r="I86" t="str" cm="1">
        <f t="array" ref="I86">_xlfn.IFS(H86&gt;=13,"Best Customers",H86&gt;=10,"Loyal Customers",H86&gt;=7,"Potential Loyal Customers",H86&gt;=4,"Need Attention",TRUE,"At Risk")</f>
        <v>Best Customers</v>
      </c>
    </row>
    <row r="87" spans="1:9">
      <c r="A87" t="s">
        <v>219</v>
      </c>
      <c r="B87" s="4">
        <v>162.65699074073927</v>
      </c>
      <c r="C87">
        <v>5</v>
      </c>
      <c r="D87">
        <v>113.27000000000001</v>
      </c>
      <c r="E87" s="5" cm="1">
        <f t="array" ref="E87">_xlfn.IFS(B87&lt;=_xlfn.PERCENTILE.INC($B$2:$B$288,0.2),5,B87&lt;=_xlfn.PERCENTILE.INC($B$2:$B$288,0.4),4,B87&lt;=_xlfn.PERCENTILE.INC($B$2:$B$288,0.6),3,B87&lt;=_xlfn.PERCENTILE.INC($B$2:$B$288,0.8),2,B87&gt;_xlfn.PERCENTILE.INC($B$2:$B$288,0.8),1)</f>
        <v>2</v>
      </c>
      <c r="F87" cm="1">
        <f t="array" ref="F87">_xlfn.IFS(C87&gt;=_xlfn.PERCENTILE.INC($C$2:$C$288,0.8),5,C87&gt;=_xlfn.PERCENTILE.INC($C$2:$C$288,0.6),4,C87&gt;=_xlfn.PERCENTILE.INC($C$2:$C$288,0.4),3,C87&gt;=_xlfn.PERCENTILE.INC($C$2:$C$288,0.2),2,C87&lt;_xlfn.PERCENTILE.INC($C$2:$C$288,0.2),1)</f>
        <v>5</v>
      </c>
      <c r="G87" cm="1">
        <f t="array" ref="G87">_xlfn.IFS(D87&gt;=_xlfn.PERCENTILE.INC($D$2:$D$288,0.8),5,D87&gt;=_xlfn.PERCENTILE.INC($D$2:$D$288,0.6),4,D87&gt;=_xlfn.PERCENTILE.INC($D$2:$D$288,0.4),3,D87&gt;=_xlfn.PERCENTILE.INC($D$2:$D$288,0.2),2,D87&lt;_xlfn.PERCENTILE.INC($D$2:$D$288,0.2),1)</f>
        <v>5</v>
      </c>
      <c r="H87">
        <f t="shared" si="1"/>
        <v>12</v>
      </c>
      <c r="I87" t="str" cm="1">
        <f t="array" ref="I87">_xlfn.IFS(H87&gt;=13,"Best Customers",H87&gt;=10,"Loyal Customers",H87&gt;=7,"Potential Loyal Customers",H87&gt;=4,"Need Attention",TRUE,"At Risk")</f>
        <v>Loyal Customers</v>
      </c>
    </row>
    <row r="88" spans="1:9">
      <c r="A88" t="s">
        <v>891</v>
      </c>
      <c r="B88" s="4">
        <v>17.656990740739275</v>
      </c>
      <c r="C88">
        <v>4</v>
      </c>
      <c r="D88">
        <v>64.37</v>
      </c>
      <c r="E88" s="5" cm="1">
        <f t="array" ref="E88">_xlfn.IFS(B88&lt;=_xlfn.PERCENTILE.INC($B$2:$B$288,0.2),5,B88&lt;=_xlfn.PERCENTILE.INC($B$2:$B$288,0.4),4,B88&lt;=_xlfn.PERCENTILE.INC($B$2:$B$288,0.6),3,B88&lt;=_xlfn.PERCENTILE.INC($B$2:$B$288,0.8),2,B88&gt;_xlfn.PERCENTILE.INC($B$2:$B$288,0.8),1)</f>
        <v>5</v>
      </c>
      <c r="F88" cm="1">
        <f t="array" ref="F88">_xlfn.IFS(C88&gt;=_xlfn.PERCENTILE.INC($C$2:$C$288,0.8),5,C88&gt;=_xlfn.PERCENTILE.INC($C$2:$C$288,0.6),4,C88&gt;=_xlfn.PERCENTILE.INC($C$2:$C$288,0.4),3,C88&gt;=_xlfn.PERCENTILE.INC($C$2:$C$288,0.2),2,C88&lt;_xlfn.PERCENTILE.INC($C$2:$C$288,0.2),1)</f>
        <v>4</v>
      </c>
      <c r="G88" cm="1">
        <f t="array" ref="G88">_xlfn.IFS(D88&gt;=_xlfn.PERCENTILE.INC($D$2:$D$288,0.8),5,D88&gt;=_xlfn.PERCENTILE.INC($D$2:$D$288,0.6),4,D88&gt;=_xlfn.PERCENTILE.INC($D$2:$D$288,0.4),3,D88&gt;=_xlfn.PERCENTILE.INC($D$2:$D$288,0.2),2,D88&lt;_xlfn.PERCENTILE.INC($D$2:$D$288,0.2),1)</f>
        <v>4</v>
      </c>
      <c r="H88">
        <f t="shared" si="1"/>
        <v>13</v>
      </c>
      <c r="I88" t="str" cm="1">
        <f t="array" ref="I88">_xlfn.IFS(H88&gt;=13,"Best Customers",H88&gt;=10,"Loyal Customers",H88&gt;=7,"Potential Loyal Customers",H88&gt;=4,"Need Attention",TRUE,"At Risk")</f>
        <v>Best Customers</v>
      </c>
    </row>
    <row r="89" spans="1:9">
      <c r="A89" t="s">
        <v>41</v>
      </c>
      <c r="B89" s="4">
        <v>251.65699074073927</v>
      </c>
      <c r="C89">
        <v>1</v>
      </c>
      <c r="D89">
        <v>11.82</v>
      </c>
      <c r="E89" s="5" cm="1">
        <f t="array" ref="E89">_xlfn.IFS(B89&lt;=_xlfn.PERCENTILE.INC($B$2:$B$288,0.2),5,B89&lt;=_xlfn.PERCENTILE.INC($B$2:$B$288,0.4),4,B89&lt;=_xlfn.PERCENTILE.INC($B$2:$B$288,0.6),3,B89&lt;=_xlfn.PERCENTILE.INC($B$2:$B$288,0.8),2,B89&gt;_xlfn.PERCENTILE.INC($B$2:$B$288,0.8),1)</f>
        <v>1</v>
      </c>
      <c r="F89" cm="1">
        <f t="array" ref="F89">_xlfn.IFS(C89&gt;=_xlfn.PERCENTILE.INC($C$2:$C$288,0.8),5,C89&gt;=_xlfn.PERCENTILE.INC($C$2:$C$288,0.6),4,C89&gt;=_xlfn.PERCENTILE.INC($C$2:$C$288,0.4),3,C89&gt;=_xlfn.PERCENTILE.INC($C$2:$C$288,0.2),2,C89&lt;_xlfn.PERCENTILE.INC($C$2:$C$288,0.2),1)</f>
        <v>1</v>
      </c>
      <c r="G89" cm="1">
        <f t="array" ref="G89">_xlfn.IFS(D89&gt;=_xlfn.PERCENTILE.INC($D$2:$D$288,0.8),5,D89&gt;=_xlfn.PERCENTILE.INC($D$2:$D$288,0.6),4,D89&gt;=_xlfn.PERCENTILE.INC($D$2:$D$288,0.4),3,D89&gt;=_xlfn.PERCENTILE.INC($D$2:$D$288,0.2),2,D89&lt;_xlfn.PERCENTILE.INC($D$2:$D$288,0.2),1)</f>
        <v>1</v>
      </c>
      <c r="H89">
        <f t="shared" si="1"/>
        <v>3</v>
      </c>
      <c r="I89" t="str" cm="1">
        <f t="array" ref="I89">_xlfn.IFS(H89&gt;=13,"Best Customers",H89&gt;=10,"Loyal Customers",H89&gt;=7,"Potential Loyal Customers",H89&gt;=4,"Need Attention",TRUE,"At Risk")</f>
        <v>At Risk</v>
      </c>
    </row>
    <row r="90" spans="1:9">
      <c r="A90" t="s">
        <v>43</v>
      </c>
      <c r="B90" s="4">
        <v>65.656990740739275</v>
      </c>
      <c r="C90">
        <v>3</v>
      </c>
      <c r="D90">
        <v>31.41</v>
      </c>
      <c r="E90" s="5" cm="1">
        <f t="array" ref="E90">_xlfn.IFS(B90&lt;=_xlfn.PERCENTILE.INC($B$2:$B$288,0.2),5,B90&lt;=_xlfn.PERCENTILE.INC($B$2:$B$288,0.4),4,B90&lt;=_xlfn.PERCENTILE.INC($B$2:$B$288,0.6),3,B90&lt;=_xlfn.PERCENTILE.INC($B$2:$B$288,0.8),2,B90&gt;_xlfn.PERCENTILE.INC($B$2:$B$288,0.8),1)</f>
        <v>4</v>
      </c>
      <c r="F90" cm="1">
        <f t="array" ref="F90">_xlfn.IFS(C90&gt;=_xlfn.PERCENTILE.INC($C$2:$C$288,0.8),5,C90&gt;=_xlfn.PERCENTILE.INC($C$2:$C$288,0.6),4,C90&gt;=_xlfn.PERCENTILE.INC($C$2:$C$288,0.4),3,C90&gt;=_xlfn.PERCENTILE.INC($C$2:$C$288,0.2),2,C90&lt;_xlfn.PERCENTILE.INC($C$2:$C$288,0.2),1)</f>
        <v>3</v>
      </c>
      <c r="G90" cm="1">
        <f t="array" ref="G90">_xlfn.IFS(D90&gt;=_xlfn.PERCENTILE.INC($D$2:$D$288,0.8),5,D90&gt;=_xlfn.PERCENTILE.INC($D$2:$D$288,0.6),4,D90&gt;=_xlfn.PERCENTILE.INC($D$2:$D$288,0.4),3,D90&gt;=_xlfn.PERCENTILE.INC($D$2:$D$288,0.2),2,D90&lt;_xlfn.PERCENTILE.INC($D$2:$D$288,0.2),1)</f>
        <v>2</v>
      </c>
      <c r="H90">
        <f t="shared" si="1"/>
        <v>9</v>
      </c>
      <c r="I90" t="str" cm="1">
        <f t="array" ref="I90">_xlfn.IFS(H90&gt;=13,"Best Customers",H90&gt;=10,"Loyal Customers",H90&gt;=7,"Potential Loyal Customers",H90&gt;=4,"Need Attention",TRUE,"At Risk")</f>
        <v>Potential Loyal Customers</v>
      </c>
    </row>
    <row r="91" spans="1:9">
      <c r="A91" t="s">
        <v>368</v>
      </c>
      <c r="B91" s="4">
        <v>71.656990740739275</v>
      </c>
      <c r="C91">
        <v>3</v>
      </c>
      <c r="D91">
        <v>95.009999999999991</v>
      </c>
      <c r="E91" s="5" cm="1">
        <f t="array" ref="E91">_xlfn.IFS(B91&lt;=_xlfn.PERCENTILE.INC($B$2:$B$288,0.2),5,B91&lt;=_xlfn.PERCENTILE.INC($B$2:$B$288,0.4),4,B91&lt;=_xlfn.PERCENTILE.INC($B$2:$B$288,0.6),3,B91&lt;=_xlfn.PERCENTILE.INC($B$2:$B$288,0.8),2,B91&gt;_xlfn.PERCENTILE.INC($B$2:$B$288,0.8),1)</f>
        <v>4</v>
      </c>
      <c r="F91" cm="1">
        <f t="array" ref="F91">_xlfn.IFS(C91&gt;=_xlfn.PERCENTILE.INC($C$2:$C$288,0.8),5,C91&gt;=_xlfn.PERCENTILE.INC($C$2:$C$288,0.6),4,C91&gt;=_xlfn.PERCENTILE.INC($C$2:$C$288,0.4),3,C91&gt;=_xlfn.PERCENTILE.INC($C$2:$C$288,0.2),2,C91&lt;_xlfn.PERCENTILE.INC($C$2:$C$288,0.2),1)</f>
        <v>3</v>
      </c>
      <c r="G91" cm="1">
        <f t="array" ref="G91">_xlfn.IFS(D91&gt;=_xlfn.PERCENTILE.INC($D$2:$D$288,0.8),5,D91&gt;=_xlfn.PERCENTILE.INC($D$2:$D$288,0.6),4,D91&gt;=_xlfn.PERCENTILE.INC($D$2:$D$288,0.4),3,D91&gt;=_xlfn.PERCENTILE.INC($D$2:$D$288,0.2),2,D91&lt;_xlfn.PERCENTILE.INC($D$2:$D$288,0.2),1)</f>
        <v>5</v>
      </c>
      <c r="H91">
        <f t="shared" si="1"/>
        <v>12</v>
      </c>
      <c r="I91" t="str" cm="1">
        <f t="array" ref="I91">_xlfn.IFS(H91&gt;=13,"Best Customers",H91&gt;=10,"Loyal Customers",H91&gt;=7,"Potential Loyal Customers",H91&gt;=4,"Need Attention",TRUE,"At Risk")</f>
        <v>Loyal Customers</v>
      </c>
    </row>
    <row r="92" spans="1:9">
      <c r="A92" t="s">
        <v>140</v>
      </c>
      <c r="B92" s="4">
        <v>191.65699074073927</v>
      </c>
      <c r="C92">
        <v>2</v>
      </c>
      <c r="D92">
        <v>32.729999999999997</v>
      </c>
      <c r="E92" s="5" cm="1">
        <f t="array" ref="E92">_xlfn.IFS(B92&lt;=_xlfn.PERCENTILE.INC($B$2:$B$288,0.2),5,B92&lt;=_xlfn.PERCENTILE.INC($B$2:$B$288,0.4),4,B92&lt;=_xlfn.PERCENTILE.INC($B$2:$B$288,0.6),3,B92&lt;=_xlfn.PERCENTILE.INC($B$2:$B$288,0.8),2,B92&gt;_xlfn.PERCENTILE.INC($B$2:$B$288,0.8),1)</f>
        <v>1</v>
      </c>
      <c r="F92" cm="1">
        <f t="array" ref="F92">_xlfn.IFS(C92&gt;=_xlfn.PERCENTILE.INC($C$2:$C$288,0.8),5,C92&gt;=_xlfn.PERCENTILE.INC($C$2:$C$288,0.6),4,C92&gt;=_xlfn.PERCENTILE.INC($C$2:$C$288,0.4),3,C92&gt;=_xlfn.PERCENTILE.INC($C$2:$C$288,0.2),2,C92&lt;_xlfn.PERCENTILE.INC($C$2:$C$288,0.2),1)</f>
        <v>2</v>
      </c>
      <c r="G92" cm="1">
        <f t="array" ref="G92">_xlfn.IFS(D92&gt;=_xlfn.PERCENTILE.INC($D$2:$D$288,0.8),5,D92&gt;=_xlfn.PERCENTILE.INC($D$2:$D$288,0.6),4,D92&gt;=_xlfn.PERCENTILE.INC($D$2:$D$288,0.4),3,D92&gt;=_xlfn.PERCENTILE.INC($D$2:$D$288,0.2),2,D92&lt;_xlfn.PERCENTILE.INC($D$2:$D$288,0.2),1)</f>
        <v>2</v>
      </c>
      <c r="H92">
        <f t="shared" si="1"/>
        <v>5</v>
      </c>
      <c r="I92" t="str" cm="1">
        <f t="array" ref="I92">_xlfn.IFS(H92&gt;=13,"Best Customers",H92&gt;=10,"Loyal Customers",H92&gt;=7,"Potential Loyal Customers",H92&gt;=4,"Need Attention",TRUE,"At Risk")</f>
        <v>Need Attention</v>
      </c>
    </row>
    <row r="93" spans="1:9">
      <c r="A93" t="s">
        <v>460</v>
      </c>
      <c r="B93" s="4">
        <v>17.656990740739275</v>
      </c>
      <c r="C93">
        <v>6</v>
      </c>
      <c r="D93">
        <v>122.55000000000001</v>
      </c>
      <c r="E93" s="5" cm="1">
        <f t="array" ref="E93">_xlfn.IFS(B93&lt;=_xlfn.PERCENTILE.INC($B$2:$B$288,0.2),5,B93&lt;=_xlfn.PERCENTILE.INC($B$2:$B$288,0.4),4,B93&lt;=_xlfn.PERCENTILE.INC($B$2:$B$288,0.6),3,B93&lt;=_xlfn.PERCENTILE.INC($B$2:$B$288,0.8),2,B93&gt;_xlfn.PERCENTILE.INC($B$2:$B$288,0.8),1)</f>
        <v>5</v>
      </c>
      <c r="F93" cm="1">
        <f t="array" ref="F93">_xlfn.IFS(C93&gt;=_xlfn.PERCENTILE.INC($C$2:$C$288,0.8),5,C93&gt;=_xlfn.PERCENTILE.INC($C$2:$C$288,0.6),4,C93&gt;=_xlfn.PERCENTILE.INC($C$2:$C$288,0.4),3,C93&gt;=_xlfn.PERCENTILE.INC($C$2:$C$288,0.2),2,C93&lt;_xlfn.PERCENTILE.INC($C$2:$C$288,0.2),1)</f>
        <v>5</v>
      </c>
      <c r="G93" cm="1">
        <f t="array" ref="G93">_xlfn.IFS(D93&gt;=_xlfn.PERCENTILE.INC($D$2:$D$288,0.8),5,D93&gt;=_xlfn.PERCENTILE.INC($D$2:$D$288,0.6),4,D93&gt;=_xlfn.PERCENTILE.INC($D$2:$D$288,0.4),3,D93&gt;=_xlfn.PERCENTILE.INC($D$2:$D$288,0.2),2,D93&lt;_xlfn.PERCENTILE.INC($D$2:$D$288,0.2),1)</f>
        <v>5</v>
      </c>
      <c r="H93">
        <f t="shared" si="1"/>
        <v>15</v>
      </c>
      <c r="I93" t="str" cm="1">
        <f t="array" ref="I93">_xlfn.IFS(H93&gt;=13,"Best Customers",H93&gt;=10,"Loyal Customers",H93&gt;=7,"Potential Loyal Customers",H93&gt;=4,"Need Attention",TRUE,"At Risk")</f>
        <v>Best Customers</v>
      </c>
    </row>
    <row r="94" spans="1:9">
      <c r="A94" t="s">
        <v>703</v>
      </c>
      <c r="B94" s="4">
        <v>33.656990740739275</v>
      </c>
      <c r="C94">
        <v>2</v>
      </c>
      <c r="D94">
        <v>58.25</v>
      </c>
      <c r="E94" s="5" cm="1">
        <f t="array" ref="E94">_xlfn.IFS(B94&lt;=_xlfn.PERCENTILE.INC($B$2:$B$288,0.2),5,B94&lt;=_xlfn.PERCENTILE.INC($B$2:$B$288,0.4),4,B94&lt;=_xlfn.PERCENTILE.INC($B$2:$B$288,0.6),3,B94&lt;=_xlfn.PERCENTILE.INC($B$2:$B$288,0.8),2,B94&gt;_xlfn.PERCENTILE.INC($B$2:$B$288,0.8),1)</f>
        <v>5</v>
      </c>
      <c r="F94" cm="1">
        <f t="array" ref="F94">_xlfn.IFS(C94&gt;=_xlfn.PERCENTILE.INC($C$2:$C$288,0.8),5,C94&gt;=_xlfn.PERCENTILE.INC($C$2:$C$288,0.6),4,C94&gt;=_xlfn.PERCENTILE.INC($C$2:$C$288,0.4),3,C94&gt;=_xlfn.PERCENTILE.INC($C$2:$C$288,0.2),2,C94&lt;_xlfn.PERCENTILE.INC($C$2:$C$288,0.2),1)</f>
        <v>2</v>
      </c>
      <c r="G94" cm="1">
        <f t="array" ref="G94">_xlfn.IFS(D94&gt;=_xlfn.PERCENTILE.INC($D$2:$D$288,0.8),5,D94&gt;=_xlfn.PERCENTILE.INC($D$2:$D$288,0.6),4,D94&gt;=_xlfn.PERCENTILE.INC($D$2:$D$288,0.4),3,D94&gt;=_xlfn.PERCENTILE.INC($D$2:$D$288,0.2),2,D94&lt;_xlfn.PERCENTILE.INC($D$2:$D$288,0.2),1)</f>
        <v>3</v>
      </c>
      <c r="H94">
        <f t="shared" si="1"/>
        <v>10</v>
      </c>
      <c r="I94" t="str" cm="1">
        <f t="array" ref="I94">_xlfn.IFS(H94&gt;=13,"Best Customers",H94&gt;=10,"Loyal Customers",H94&gt;=7,"Potential Loyal Customers",H94&gt;=4,"Need Attention",TRUE,"At Risk")</f>
        <v>Loyal Customers</v>
      </c>
    </row>
    <row r="95" spans="1:9">
      <c r="A95" t="s">
        <v>1047</v>
      </c>
      <c r="B95" s="4">
        <v>249.65699074073927</v>
      </c>
      <c r="C95">
        <v>2</v>
      </c>
      <c r="D95">
        <v>18.39</v>
      </c>
      <c r="E95" s="5" cm="1">
        <f t="array" ref="E95">_xlfn.IFS(B95&lt;=_xlfn.PERCENTILE.INC($B$2:$B$288,0.2),5,B95&lt;=_xlfn.PERCENTILE.INC($B$2:$B$288,0.4),4,B95&lt;=_xlfn.PERCENTILE.INC($B$2:$B$288,0.6),3,B95&lt;=_xlfn.PERCENTILE.INC($B$2:$B$288,0.8),2,B95&gt;_xlfn.PERCENTILE.INC($B$2:$B$288,0.8),1)</f>
        <v>1</v>
      </c>
      <c r="F95" cm="1">
        <f t="array" ref="F95">_xlfn.IFS(C95&gt;=_xlfn.PERCENTILE.INC($C$2:$C$288,0.8),5,C95&gt;=_xlfn.PERCENTILE.INC($C$2:$C$288,0.6),4,C95&gt;=_xlfn.PERCENTILE.INC($C$2:$C$288,0.4),3,C95&gt;=_xlfn.PERCENTILE.INC($C$2:$C$288,0.2),2,C95&lt;_xlfn.PERCENTILE.INC($C$2:$C$288,0.2),1)</f>
        <v>2</v>
      </c>
      <c r="G95" cm="1">
        <f t="array" ref="G95">_xlfn.IFS(D95&gt;=_xlfn.PERCENTILE.INC($D$2:$D$288,0.8),5,D95&gt;=_xlfn.PERCENTILE.INC($D$2:$D$288,0.6),4,D95&gt;=_xlfn.PERCENTILE.INC($D$2:$D$288,0.4),3,D95&gt;=_xlfn.PERCENTILE.INC($D$2:$D$288,0.2),2,D95&lt;_xlfn.PERCENTILE.INC($D$2:$D$288,0.2),1)</f>
        <v>1</v>
      </c>
      <c r="H95">
        <f t="shared" si="1"/>
        <v>4</v>
      </c>
      <c r="I95" t="str" cm="1">
        <f t="array" ref="I95">_xlfn.IFS(H95&gt;=13,"Best Customers",H95&gt;=10,"Loyal Customers",H95&gt;=7,"Potential Loyal Customers",H95&gt;=4,"Need Attention",TRUE,"At Risk")</f>
        <v>Need Attention</v>
      </c>
    </row>
    <row r="96" spans="1:9">
      <c r="A96" t="s">
        <v>33</v>
      </c>
      <c r="B96" s="4">
        <v>191.65699074073927</v>
      </c>
      <c r="C96">
        <v>3</v>
      </c>
      <c r="D96">
        <v>70.75</v>
      </c>
      <c r="E96" s="5" cm="1">
        <f t="array" ref="E96">_xlfn.IFS(B96&lt;=_xlfn.PERCENTILE.INC($B$2:$B$288,0.2),5,B96&lt;=_xlfn.PERCENTILE.INC($B$2:$B$288,0.4),4,B96&lt;=_xlfn.PERCENTILE.INC($B$2:$B$288,0.6),3,B96&lt;=_xlfn.PERCENTILE.INC($B$2:$B$288,0.8),2,B96&gt;_xlfn.PERCENTILE.INC($B$2:$B$288,0.8),1)</f>
        <v>1</v>
      </c>
      <c r="F96" cm="1">
        <f t="array" ref="F96">_xlfn.IFS(C96&gt;=_xlfn.PERCENTILE.INC($C$2:$C$288,0.8),5,C96&gt;=_xlfn.PERCENTILE.INC($C$2:$C$288,0.6),4,C96&gt;=_xlfn.PERCENTILE.INC($C$2:$C$288,0.4),3,C96&gt;=_xlfn.PERCENTILE.INC($C$2:$C$288,0.2),2,C96&lt;_xlfn.PERCENTILE.INC($C$2:$C$288,0.2),1)</f>
        <v>3</v>
      </c>
      <c r="G96" cm="1">
        <f t="array" ref="G96">_xlfn.IFS(D96&gt;=_xlfn.PERCENTILE.INC($D$2:$D$288,0.8),5,D96&gt;=_xlfn.PERCENTILE.INC($D$2:$D$288,0.6),4,D96&gt;=_xlfn.PERCENTILE.INC($D$2:$D$288,0.4),3,D96&gt;=_xlfn.PERCENTILE.INC($D$2:$D$288,0.2),2,D96&lt;_xlfn.PERCENTILE.INC($D$2:$D$288,0.2),1)</f>
        <v>4</v>
      </c>
      <c r="H96">
        <f t="shared" si="1"/>
        <v>8</v>
      </c>
      <c r="I96" t="str" cm="1">
        <f t="array" ref="I96">_xlfn.IFS(H96&gt;=13,"Best Customers",H96&gt;=10,"Loyal Customers",H96&gt;=7,"Potential Loyal Customers",H96&gt;=4,"Need Attention",TRUE,"At Risk")</f>
        <v>Potential Loyal Customers</v>
      </c>
    </row>
    <row r="97" spans="1:9">
      <c r="A97" t="s">
        <v>558</v>
      </c>
      <c r="B97" s="4">
        <v>19.656990740739275</v>
      </c>
      <c r="C97">
        <v>5</v>
      </c>
      <c r="D97">
        <v>108.92</v>
      </c>
      <c r="E97" s="5" cm="1">
        <f t="array" ref="E97">_xlfn.IFS(B97&lt;=_xlfn.PERCENTILE.INC($B$2:$B$288,0.2),5,B97&lt;=_xlfn.PERCENTILE.INC($B$2:$B$288,0.4),4,B97&lt;=_xlfn.PERCENTILE.INC($B$2:$B$288,0.6),3,B97&lt;=_xlfn.PERCENTILE.INC($B$2:$B$288,0.8),2,B97&gt;_xlfn.PERCENTILE.INC($B$2:$B$288,0.8),1)</f>
        <v>5</v>
      </c>
      <c r="F97" cm="1">
        <f t="array" ref="F97">_xlfn.IFS(C97&gt;=_xlfn.PERCENTILE.INC($C$2:$C$288,0.8),5,C97&gt;=_xlfn.PERCENTILE.INC($C$2:$C$288,0.6),4,C97&gt;=_xlfn.PERCENTILE.INC($C$2:$C$288,0.4),3,C97&gt;=_xlfn.PERCENTILE.INC($C$2:$C$288,0.2),2,C97&lt;_xlfn.PERCENTILE.INC($C$2:$C$288,0.2),1)</f>
        <v>5</v>
      </c>
      <c r="G97" cm="1">
        <f t="array" ref="G97">_xlfn.IFS(D97&gt;=_xlfn.PERCENTILE.INC($D$2:$D$288,0.8),5,D97&gt;=_xlfn.PERCENTILE.INC($D$2:$D$288,0.6),4,D97&gt;=_xlfn.PERCENTILE.INC($D$2:$D$288,0.4),3,D97&gt;=_xlfn.PERCENTILE.INC($D$2:$D$288,0.2),2,D97&lt;_xlfn.PERCENTILE.INC($D$2:$D$288,0.2),1)</f>
        <v>5</v>
      </c>
      <c r="H97">
        <f t="shared" si="1"/>
        <v>15</v>
      </c>
      <c r="I97" t="str" cm="1">
        <f t="array" ref="I97">_xlfn.IFS(H97&gt;=13,"Best Customers",H97&gt;=10,"Loyal Customers",H97&gt;=7,"Potential Loyal Customers",H97&gt;=4,"Need Attention",TRUE,"At Risk")</f>
        <v>Best Customers</v>
      </c>
    </row>
    <row r="98" spans="1:9">
      <c r="A98" t="s">
        <v>606</v>
      </c>
      <c r="B98" s="4">
        <v>346.65699074073927</v>
      </c>
      <c r="C98">
        <v>2</v>
      </c>
      <c r="D98">
        <v>22.2</v>
      </c>
      <c r="E98" s="5" cm="1">
        <f t="array" ref="E98">_xlfn.IFS(B98&lt;=_xlfn.PERCENTILE.INC($B$2:$B$288,0.2),5,B98&lt;=_xlfn.PERCENTILE.INC($B$2:$B$288,0.4),4,B98&lt;=_xlfn.PERCENTILE.INC($B$2:$B$288,0.6),3,B98&lt;=_xlfn.PERCENTILE.INC($B$2:$B$288,0.8),2,B98&gt;_xlfn.PERCENTILE.INC($B$2:$B$288,0.8),1)</f>
        <v>1</v>
      </c>
      <c r="F98" cm="1">
        <f t="array" ref="F98">_xlfn.IFS(C98&gt;=_xlfn.PERCENTILE.INC($C$2:$C$288,0.8),5,C98&gt;=_xlfn.PERCENTILE.INC($C$2:$C$288,0.6),4,C98&gt;=_xlfn.PERCENTILE.INC($C$2:$C$288,0.4),3,C98&gt;=_xlfn.PERCENTILE.INC($C$2:$C$288,0.2),2,C98&lt;_xlfn.PERCENTILE.INC($C$2:$C$288,0.2),1)</f>
        <v>2</v>
      </c>
      <c r="G98" cm="1">
        <f t="array" ref="G98">_xlfn.IFS(D98&gt;=_xlfn.PERCENTILE.INC($D$2:$D$288,0.8),5,D98&gt;=_xlfn.PERCENTILE.INC($D$2:$D$288,0.6),4,D98&gt;=_xlfn.PERCENTILE.INC($D$2:$D$288,0.4),3,D98&gt;=_xlfn.PERCENTILE.INC($D$2:$D$288,0.2),2,D98&lt;_xlfn.PERCENTILE.INC($D$2:$D$288,0.2),1)</f>
        <v>1</v>
      </c>
      <c r="H98">
        <f t="shared" si="1"/>
        <v>4</v>
      </c>
      <c r="I98" t="str" cm="1">
        <f t="array" ref="I98">_xlfn.IFS(H98&gt;=13,"Best Customers",H98&gt;=10,"Loyal Customers",H98&gt;=7,"Potential Loyal Customers",H98&gt;=4,"Need Attention",TRUE,"At Risk")</f>
        <v>Need Attention</v>
      </c>
    </row>
    <row r="99" spans="1:9">
      <c r="A99" t="s">
        <v>94</v>
      </c>
      <c r="B99" s="4">
        <v>36.656990740739275</v>
      </c>
      <c r="C99">
        <v>6</v>
      </c>
      <c r="D99">
        <v>164.74</v>
      </c>
      <c r="E99" s="5" cm="1">
        <f t="array" ref="E99">_xlfn.IFS(B99&lt;=_xlfn.PERCENTILE.INC($B$2:$B$288,0.2),5,B99&lt;=_xlfn.PERCENTILE.INC($B$2:$B$288,0.4),4,B99&lt;=_xlfn.PERCENTILE.INC($B$2:$B$288,0.6),3,B99&lt;=_xlfn.PERCENTILE.INC($B$2:$B$288,0.8),2,B99&gt;_xlfn.PERCENTILE.INC($B$2:$B$288,0.8),1)</f>
        <v>5</v>
      </c>
      <c r="F99" cm="1">
        <f t="array" ref="F99">_xlfn.IFS(C99&gt;=_xlfn.PERCENTILE.INC($C$2:$C$288,0.8),5,C99&gt;=_xlfn.PERCENTILE.INC($C$2:$C$288,0.6),4,C99&gt;=_xlfn.PERCENTILE.INC($C$2:$C$288,0.4),3,C99&gt;=_xlfn.PERCENTILE.INC($C$2:$C$288,0.2),2,C99&lt;_xlfn.PERCENTILE.INC($C$2:$C$288,0.2),1)</f>
        <v>5</v>
      </c>
      <c r="G99" cm="1">
        <f t="array" ref="G99">_xlfn.IFS(D99&gt;=_xlfn.PERCENTILE.INC($D$2:$D$288,0.8),5,D99&gt;=_xlfn.PERCENTILE.INC($D$2:$D$288,0.6),4,D99&gt;=_xlfn.PERCENTILE.INC($D$2:$D$288,0.4),3,D99&gt;=_xlfn.PERCENTILE.INC($D$2:$D$288,0.2),2,D99&lt;_xlfn.PERCENTILE.INC($D$2:$D$288,0.2),1)</f>
        <v>5</v>
      </c>
      <c r="H99">
        <f t="shared" si="1"/>
        <v>15</v>
      </c>
      <c r="I99" t="str" cm="1">
        <f t="array" ref="I99">_xlfn.IFS(H99&gt;=13,"Best Customers",H99&gt;=10,"Loyal Customers",H99&gt;=7,"Potential Loyal Customers",H99&gt;=4,"Need Attention",TRUE,"At Risk")</f>
        <v>Best Customers</v>
      </c>
    </row>
    <row r="100" spans="1:9">
      <c r="A100" t="s">
        <v>723</v>
      </c>
      <c r="B100" s="4">
        <v>282.65699074073927</v>
      </c>
      <c r="C100">
        <v>2</v>
      </c>
      <c r="D100">
        <v>19.489999999999998</v>
      </c>
      <c r="E100" s="5" cm="1">
        <f t="array" ref="E100">_xlfn.IFS(B100&lt;=_xlfn.PERCENTILE.INC($B$2:$B$288,0.2),5,B100&lt;=_xlfn.PERCENTILE.INC($B$2:$B$288,0.4),4,B100&lt;=_xlfn.PERCENTILE.INC($B$2:$B$288,0.6),3,B100&lt;=_xlfn.PERCENTILE.INC($B$2:$B$288,0.8),2,B100&gt;_xlfn.PERCENTILE.INC($B$2:$B$288,0.8),1)</f>
        <v>1</v>
      </c>
      <c r="F100" cm="1">
        <f t="array" ref="F100">_xlfn.IFS(C100&gt;=_xlfn.PERCENTILE.INC($C$2:$C$288,0.8),5,C100&gt;=_xlfn.PERCENTILE.INC($C$2:$C$288,0.6),4,C100&gt;=_xlfn.PERCENTILE.INC($C$2:$C$288,0.4),3,C100&gt;=_xlfn.PERCENTILE.INC($C$2:$C$288,0.2),2,C100&lt;_xlfn.PERCENTILE.INC($C$2:$C$288,0.2),1)</f>
        <v>2</v>
      </c>
      <c r="G100" cm="1">
        <f t="array" ref="G100">_xlfn.IFS(D100&gt;=_xlfn.PERCENTILE.INC($D$2:$D$288,0.8),5,D100&gt;=_xlfn.PERCENTILE.INC($D$2:$D$288,0.6),4,D100&gt;=_xlfn.PERCENTILE.INC($D$2:$D$288,0.4),3,D100&gt;=_xlfn.PERCENTILE.INC($D$2:$D$288,0.2),2,D100&lt;_xlfn.PERCENTILE.INC($D$2:$D$288,0.2),1)</f>
        <v>1</v>
      </c>
      <c r="H100">
        <f t="shared" si="1"/>
        <v>4</v>
      </c>
      <c r="I100" t="str" cm="1">
        <f t="array" ref="I100">_xlfn.IFS(H100&gt;=13,"Best Customers",H100&gt;=10,"Loyal Customers",H100&gt;=7,"Potential Loyal Customers",H100&gt;=4,"Need Attention",TRUE,"At Risk")</f>
        <v>Need Attention</v>
      </c>
    </row>
    <row r="101" spans="1:9">
      <c r="A101" t="s">
        <v>217</v>
      </c>
      <c r="B101" s="4">
        <v>52.656990740739275</v>
      </c>
      <c r="C101">
        <v>3</v>
      </c>
      <c r="D101">
        <v>91.44</v>
      </c>
      <c r="E101" s="5" cm="1">
        <f t="array" ref="E101">_xlfn.IFS(B101&lt;=_xlfn.PERCENTILE.INC($B$2:$B$288,0.2),5,B101&lt;=_xlfn.PERCENTILE.INC($B$2:$B$288,0.4),4,B101&lt;=_xlfn.PERCENTILE.INC($B$2:$B$288,0.6),3,B101&lt;=_xlfn.PERCENTILE.INC($B$2:$B$288,0.8),2,B101&gt;_xlfn.PERCENTILE.INC($B$2:$B$288,0.8),1)</f>
        <v>4</v>
      </c>
      <c r="F101" cm="1">
        <f t="array" ref="F101">_xlfn.IFS(C101&gt;=_xlfn.PERCENTILE.INC($C$2:$C$288,0.8),5,C101&gt;=_xlfn.PERCENTILE.INC($C$2:$C$288,0.6),4,C101&gt;=_xlfn.PERCENTILE.INC($C$2:$C$288,0.4),3,C101&gt;=_xlfn.PERCENTILE.INC($C$2:$C$288,0.2),2,C101&lt;_xlfn.PERCENTILE.INC($C$2:$C$288,0.2),1)</f>
        <v>3</v>
      </c>
      <c r="G101" cm="1">
        <f t="array" ref="G101">_xlfn.IFS(D101&gt;=_xlfn.PERCENTILE.INC($D$2:$D$288,0.8),5,D101&gt;=_xlfn.PERCENTILE.INC($D$2:$D$288,0.6),4,D101&gt;=_xlfn.PERCENTILE.INC($D$2:$D$288,0.4),3,D101&gt;=_xlfn.PERCENTILE.INC($D$2:$D$288,0.2),2,D101&lt;_xlfn.PERCENTILE.INC($D$2:$D$288,0.2),1)</f>
        <v>5</v>
      </c>
      <c r="H101">
        <f t="shared" si="1"/>
        <v>12</v>
      </c>
      <c r="I101" t="str" cm="1">
        <f t="array" ref="I101">_xlfn.IFS(H101&gt;=13,"Best Customers",H101&gt;=10,"Loyal Customers",H101&gt;=7,"Potential Loyal Customers",H101&gt;=4,"Need Attention",TRUE,"At Risk")</f>
        <v>Loyal Customers</v>
      </c>
    </row>
    <row r="102" spans="1:9">
      <c r="A102" t="s">
        <v>687</v>
      </c>
      <c r="B102" s="4">
        <v>143.65699074073927</v>
      </c>
      <c r="C102">
        <v>3</v>
      </c>
      <c r="D102">
        <v>29.130000000000003</v>
      </c>
      <c r="E102" s="5" cm="1">
        <f t="array" ref="E102">_xlfn.IFS(B102&lt;=_xlfn.PERCENTILE.INC($B$2:$B$288,0.2),5,B102&lt;=_xlfn.PERCENTILE.INC($B$2:$B$288,0.4),4,B102&lt;=_xlfn.PERCENTILE.INC($B$2:$B$288,0.6),3,B102&lt;=_xlfn.PERCENTILE.INC($B$2:$B$288,0.8),2,B102&gt;_xlfn.PERCENTILE.INC($B$2:$B$288,0.8),1)</f>
        <v>2</v>
      </c>
      <c r="F102" cm="1">
        <f t="array" ref="F102">_xlfn.IFS(C102&gt;=_xlfn.PERCENTILE.INC($C$2:$C$288,0.8),5,C102&gt;=_xlfn.PERCENTILE.INC($C$2:$C$288,0.6),4,C102&gt;=_xlfn.PERCENTILE.INC($C$2:$C$288,0.4),3,C102&gt;=_xlfn.PERCENTILE.INC($C$2:$C$288,0.2),2,C102&lt;_xlfn.PERCENTILE.INC($C$2:$C$288,0.2),1)</f>
        <v>3</v>
      </c>
      <c r="G102" cm="1">
        <f t="array" ref="G102">_xlfn.IFS(D102&gt;=_xlfn.PERCENTILE.INC($D$2:$D$288,0.8),5,D102&gt;=_xlfn.PERCENTILE.INC($D$2:$D$288,0.6),4,D102&gt;=_xlfn.PERCENTILE.INC($D$2:$D$288,0.4),3,D102&gt;=_xlfn.PERCENTILE.INC($D$2:$D$288,0.2),2,D102&lt;_xlfn.PERCENTILE.INC($D$2:$D$288,0.2),1)</f>
        <v>2</v>
      </c>
      <c r="H102">
        <f t="shared" si="1"/>
        <v>7</v>
      </c>
      <c r="I102" t="str" cm="1">
        <f t="array" ref="I102">_xlfn.IFS(H102&gt;=13,"Best Customers",H102&gt;=10,"Loyal Customers",H102&gt;=7,"Potential Loyal Customers",H102&gt;=4,"Need Attention",TRUE,"At Risk")</f>
        <v>Potential Loyal Customers</v>
      </c>
    </row>
    <row r="103" spans="1:9">
      <c r="A103" t="s">
        <v>555</v>
      </c>
      <c r="B103" s="4">
        <v>97.656990740739275</v>
      </c>
      <c r="C103">
        <v>6</v>
      </c>
      <c r="D103">
        <v>72.05</v>
      </c>
      <c r="E103" s="5" cm="1">
        <f t="array" ref="E103">_xlfn.IFS(B103&lt;=_xlfn.PERCENTILE.INC($B$2:$B$288,0.2),5,B103&lt;=_xlfn.PERCENTILE.INC($B$2:$B$288,0.4),4,B103&lt;=_xlfn.PERCENTILE.INC($B$2:$B$288,0.6),3,B103&lt;=_xlfn.PERCENTILE.INC($B$2:$B$288,0.8),2,B103&gt;_xlfn.PERCENTILE.INC($B$2:$B$288,0.8),1)</f>
        <v>3</v>
      </c>
      <c r="F103" cm="1">
        <f t="array" ref="F103">_xlfn.IFS(C103&gt;=_xlfn.PERCENTILE.INC($C$2:$C$288,0.8),5,C103&gt;=_xlfn.PERCENTILE.INC($C$2:$C$288,0.6),4,C103&gt;=_xlfn.PERCENTILE.INC($C$2:$C$288,0.4),3,C103&gt;=_xlfn.PERCENTILE.INC($C$2:$C$288,0.2),2,C103&lt;_xlfn.PERCENTILE.INC($C$2:$C$288,0.2),1)</f>
        <v>5</v>
      </c>
      <c r="G103" cm="1">
        <f t="array" ref="G103">_xlfn.IFS(D103&gt;=_xlfn.PERCENTILE.INC($D$2:$D$288,0.8),5,D103&gt;=_xlfn.PERCENTILE.INC($D$2:$D$288,0.6),4,D103&gt;=_xlfn.PERCENTILE.INC($D$2:$D$288,0.4),3,D103&gt;=_xlfn.PERCENTILE.INC($D$2:$D$288,0.2),2,D103&lt;_xlfn.PERCENTILE.INC($D$2:$D$288,0.2),1)</f>
        <v>4</v>
      </c>
      <c r="H103">
        <f t="shared" si="1"/>
        <v>12</v>
      </c>
      <c r="I103" t="str" cm="1">
        <f t="array" ref="I103">_xlfn.IFS(H103&gt;=13,"Best Customers",H103&gt;=10,"Loyal Customers",H103&gt;=7,"Potential Loyal Customers",H103&gt;=4,"Need Attention",TRUE,"At Risk")</f>
        <v>Loyal Customers</v>
      </c>
    </row>
    <row r="104" spans="1:9">
      <c r="A104" t="s">
        <v>458</v>
      </c>
      <c r="B104" s="4">
        <v>345.65699074073927</v>
      </c>
      <c r="C104">
        <v>1</v>
      </c>
      <c r="D104">
        <v>8.01</v>
      </c>
      <c r="E104" s="5" cm="1">
        <f t="array" ref="E104">_xlfn.IFS(B104&lt;=_xlfn.PERCENTILE.INC($B$2:$B$288,0.2),5,B104&lt;=_xlfn.PERCENTILE.INC($B$2:$B$288,0.4),4,B104&lt;=_xlfn.PERCENTILE.INC($B$2:$B$288,0.6),3,B104&lt;=_xlfn.PERCENTILE.INC($B$2:$B$288,0.8),2,B104&gt;_xlfn.PERCENTILE.INC($B$2:$B$288,0.8),1)</f>
        <v>1</v>
      </c>
      <c r="F104" cm="1">
        <f t="array" ref="F104">_xlfn.IFS(C104&gt;=_xlfn.PERCENTILE.INC($C$2:$C$288,0.8),5,C104&gt;=_xlfn.PERCENTILE.INC($C$2:$C$288,0.6),4,C104&gt;=_xlfn.PERCENTILE.INC($C$2:$C$288,0.4),3,C104&gt;=_xlfn.PERCENTILE.INC($C$2:$C$288,0.2),2,C104&lt;_xlfn.PERCENTILE.INC($C$2:$C$288,0.2),1)</f>
        <v>1</v>
      </c>
      <c r="G104" cm="1">
        <f t="array" ref="G104">_xlfn.IFS(D104&gt;=_xlfn.PERCENTILE.INC($D$2:$D$288,0.8),5,D104&gt;=_xlfn.PERCENTILE.INC($D$2:$D$288,0.6),4,D104&gt;=_xlfn.PERCENTILE.INC($D$2:$D$288,0.4),3,D104&gt;=_xlfn.PERCENTILE.INC($D$2:$D$288,0.2),2,D104&lt;_xlfn.PERCENTILE.INC($D$2:$D$288,0.2),1)</f>
        <v>1</v>
      </c>
      <c r="H104">
        <f t="shared" si="1"/>
        <v>3</v>
      </c>
      <c r="I104" t="str" cm="1">
        <f t="array" ref="I104">_xlfn.IFS(H104&gt;=13,"Best Customers",H104&gt;=10,"Loyal Customers",H104&gt;=7,"Potential Loyal Customers",H104&gt;=4,"Need Attention",TRUE,"At Risk")</f>
        <v>At Risk</v>
      </c>
    </row>
    <row r="105" spans="1:9">
      <c r="A105" t="s">
        <v>236</v>
      </c>
      <c r="B105" s="4">
        <v>108.65699074073927</v>
      </c>
      <c r="C105">
        <v>2</v>
      </c>
      <c r="D105">
        <v>52.1</v>
      </c>
      <c r="E105" s="5" cm="1">
        <f t="array" ref="E105">_xlfn.IFS(B105&lt;=_xlfn.PERCENTILE.INC($B$2:$B$288,0.2),5,B105&lt;=_xlfn.PERCENTILE.INC($B$2:$B$288,0.4),4,B105&lt;=_xlfn.PERCENTILE.INC($B$2:$B$288,0.6),3,B105&lt;=_xlfn.PERCENTILE.INC($B$2:$B$288,0.8),2,B105&gt;_xlfn.PERCENTILE.INC($B$2:$B$288,0.8),1)</f>
        <v>3</v>
      </c>
      <c r="F105" cm="1">
        <f t="array" ref="F105">_xlfn.IFS(C105&gt;=_xlfn.PERCENTILE.INC($C$2:$C$288,0.8),5,C105&gt;=_xlfn.PERCENTILE.INC($C$2:$C$288,0.6),4,C105&gt;=_xlfn.PERCENTILE.INC($C$2:$C$288,0.4),3,C105&gt;=_xlfn.PERCENTILE.INC($C$2:$C$288,0.2),2,C105&lt;_xlfn.PERCENTILE.INC($C$2:$C$288,0.2),1)</f>
        <v>2</v>
      </c>
      <c r="G105" cm="1">
        <f t="array" ref="G105">_xlfn.IFS(D105&gt;=_xlfn.PERCENTILE.INC($D$2:$D$288,0.8),5,D105&gt;=_xlfn.PERCENTILE.INC($D$2:$D$288,0.6),4,D105&gt;=_xlfn.PERCENTILE.INC($D$2:$D$288,0.4),3,D105&gt;=_xlfn.PERCENTILE.INC($D$2:$D$288,0.2),2,D105&lt;_xlfn.PERCENTILE.INC($D$2:$D$288,0.2),1)</f>
        <v>3</v>
      </c>
      <c r="H105">
        <f t="shared" si="1"/>
        <v>8</v>
      </c>
      <c r="I105" t="str" cm="1">
        <f t="array" ref="I105">_xlfn.IFS(H105&gt;=13,"Best Customers",H105&gt;=10,"Loyal Customers",H105&gt;=7,"Potential Loyal Customers",H105&gt;=4,"Need Attention",TRUE,"At Risk")</f>
        <v>Potential Loyal Customers</v>
      </c>
    </row>
    <row r="106" spans="1:9">
      <c r="A106" t="s">
        <v>130</v>
      </c>
      <c r="B106" s="4">
        <v>22.656990740739275</v>
      </c>
      <c r="C106">
        <v>5</v>
      </c>
      <c r="D106">
        <v>108.17999999999999</v>
      </c>
      <c r="E106" s="5" cm="1">
        <f t="array" ref="E106">_xlfn.IFS(B106&lt;=_xlfn.PERCENTILE.INC($B$2:$B$288,0.2),5,B106&lt;=_xlfn.PERCENTILE.INC($B$2:$B$288,0.4),4,B106&lt;=_xlfn.PERCENTILE.INC($B$2:$B$288,0.6),3,B106&lt;=_xlfn.PERCENTILE.INC($B$2:$B$288,0.8),2,B106&gt;_xlfn.PERCENTILE.INC($B$2:$B$288,0.8),1)</f>
        <v>5</v>
      </c>
      <c r="F106" cm="1">
        <f t="array" ref="F106">_xlfn.IFS(C106&gt;=_xlfn.PERCENTILE.INC($C$2:$C$288,0.8),5,C106&gt;=_xlfn.PERCENTILE.INC($C$2:$C$288,0.6),4,C106&gt;=_xlfn.PERCENTILE.INC($C$2:$C$288,0.4),3,C106&gt;=_xlfn.PERCENTILE.INC($C$2:$C$288,0.2),2,C106&lt;_xlfn.PERCENTILE.INC($C$2:$C$288,0.2),1)</f>
        <v>5</v>
      </c>
      <c r="G106" cm="1">
        <f t="array" ref="G106">_xlfn.IFS(D106&gt;=_xlfn.PERCENTILE.INC($D$2:$D$288,0.8),5,D106&gt;=_xlfn.PERCENTILE.INC($D$2:$D$288,0.6),4,D106&gt;=_xlfn.PERCENTILE.INC($D$2:$D$288,0.4),3,D106&gt;=_xlfn.PERCENTILE.INC($D$2:$D$288,0.2),2,D106&lt;_xlfn.PERCENTILE.INC($D$2:$D$288,0.2),1)</f>
        <v>5</v>
      </c>
      <c r="H106">
        <f t="shared" si="1"/>
        <v>15</v>
      </c>
      <c r="I106" t="str" cm="1">
        <f t="array" ref="I106">_xlfn.IFS(H106&gt;=13,"Best Customers",H106&gt;=10,"Loyal Customers",H106&gt;=7,"Potential Loyal Customers",H106&gt;=4,"Need Attention",TRUE,"At Risk")</f>
        <v>Best Customers</v>
      </c>
    </row>
    <row r="107" spans="1:9">
      <c r="A107" t="s">
        <v>391</v>
      </c>
      <c r="B107" s="4">
        <v>127.65699074073927</v>
      </c>
      <c r="C107">
        <v>1</v>
      </c>
      <c r="D107">
        <v>11.81</v>
      </c>
      <c r="E107" s="5" cm="1">
        <f t="array" ref="E107">_xlfn.IFS(B107&lt;=_xlfn.PERCENTILE.INC($B$2:$B$288,0.2),5,B107&lt;=_xlfn.PERCENTILE.INC($B$2:$B$288,0.4),4,B107&lt;=_xlfn.PERCENTILE.INC($B$2:$B$288,0.6),3,B107&lt;=_xlfn.PERCENTILE.INC($B$2:$B$288,0.8),2,B107&gt;_xlfn.PERCENTILE.INC($B$2:$B$288,0.8),1)</f>
        <v>2</v>
      </c>
      <c r="F107" cm="1">
        <f t="array" ref="F107">_xlfn.IFS(C107&gt;=_xlfn.PERCENTILE.INC($C$2:$C$288,0.8),5,C107&gt;=_xlfn.PERCENTILE.INC($C$2:$C$288,0.6),4,C107&gt;=_xlfn.PERCENTILE.INC($C$2:$C$288,0.4),3,C107&gt;=_xlfn.PERCENTILE.INC($C$2:$C$288,0.2),2,C107&lt;_xlfn.PERCENTILE.INC($C$2:$C$288,0.2),1)</f>
        <v>1</v>
      </c>
      <c r="G107" cm="1">
        <f t="array" ref="G107">_xlfn.IFS(D107&gt;=_xlfn.PERCENTILE.INC($D$2:$D$288,0.8),5,D107&gt;=_xlfn.PERCENTILE.INC($D$2:$D$288,0.6),4,D107&gt;=_xlfn.PERCENTILE.INC($D$2:$D$288,0.4),3,D107&gt;=_xlfn.PERCENTILE.INC($D$2:$D$288,0.2),2,D107&lt;_xlfn.PERCENTILE.INC($D$2:$D$288,0.2),1)</f>
        <v>1</v>
      </c>
      <c r="H107">
        <f t="shared" si="1"/>
        <v>4</v>
      </c>
      <c r="I107" t="str" cm="1">
        <f t="array" ref="I107">_xlfn.IFS(H107&gt;=13,"Best Customers",H107&gt;=10,"Loyal Customers",H107&gt;=7,"Potential Loyal Customers",H107&gt;=4,"Need Attention",TRUE,"At Risk")</f>
        <v>Need Attention</v>
      </c>
    </row>
    <row r="108" spans="1:9">
      <c r="A108" t="s">
        <v>325</v>
      </c>
      <c r="B108" s="4">
        <v>64.656990740739275</v>
      </c>
      <c r="C108">
        <v>3</v>
      </c>
      <c r="D108">
        <v>36.65</v>
      </c>
      <c r="E108" s="5" cm="1">
        <f t="array" ref="E108">_xlfn.IFS(B108&lt;=_xlfn.PERCENTILE.INC($B$2:$B$288,0.2),5,B108&lt;=_xlfn.PERCENTILE.INC($B$2:$B$288,0.4),4,B108&lt;=_xlfn.PERCENTILE.INC($B$2:$B$288,0.6),3,B108&lt;=_xlfn.PERCENTILE.INC($B$2:$B$288,0.8),2,B108&gt;_xlfn.PERCENTILE.INC($B$2:$B$288,0.8),1)</f>
        <v>4</v>
      </c>
      <c r="F108" cm="1">
        <f t="array" ref="F108">_xlfn.IFS(C108&gt;=_xlfn.PERCENTILE.INC($C$2:$C$288,0.8),5,C108&gt;=_xlfn.PERCENTILE.INC($C$2:$C$288,0.6),4,C108&gt;=_xlfn.PERCENTILE.INC($C$2:$C$288,0.4),3,C108&gt;=_xlfn.PERCENTILE.INC($C$2:$C$288,0.2),2,C108&lt;_xlfn.PERCENTILE.INC($C$2:$C$288,0.2),1)</f>
        <v>3</v>
      </c>
      <c r="G108" cm="1">
        <f t="array" ref="G108">_xlfn.IFS(D108&gt;=_xlfn.PERCENTILE.INC($D$2:$D$288,0.8),5,D108&gt;=_xlfn.PERCENTILE.INC($D$2:$D$288,0.6),4,D108&gt;=_xlfn.PERCENTILE.INC($D$2:$D$288,0.4),3,D108&gt;=_xlfn.PERCENTILE.INC($D$2:$D$288,0.2),2,D108&lt;_xlfn.PERCENTILE.INC($D$2:$D$288,0.2),1)</f>
        <v>2</v>
      </c>
      <c r="H108">
        <f t="shared" si="1"/>
        <v>9</v>
      </c>
      <c r="I108" t="str" cm="1">
        <f t="array" ref="I108">_xlfn.IFS(H108&gt;=13,"Best Customers",H108&gt;=10,"Loyal Customers",H108&gt;=7,"Potential Loyal Customers",H108&gt;=4,"Need Attention",TRUE,"At Risk")</f>
        <v>Potential Loyal Customers</v>
      </c>
    </row>
    <row r="109" spans="1:9">
      <c r="A109" t="s">
        <v>327</v>
      </c>
      <c r="B109" s="4">
        <v>102.65699074073927</v>
      </c>
      <c r="C109">
        <v>3</v>
      </c>
      <c r="D109">
        <v>57.95</v>
      </c>
      <c r="E109" s="5" cm="1">
        <f t="array" ref="E109">_xlfn.IFS(B109&lt;=_xlfn.PERCENTILE.INC($B$2:$B$288,0.2),5,B109&lt;=_xlfn.PERCENTILE.INC($B$2:$B$288,0.4),4,B109&lt;=_xlfn.PERCENTILE.INC($B$2:$B$288,0.6),3,B109&lt;=_xlfn.PERCENTILE.INC($B$2:$B$288,0.8),2,B109&gt;_xlfn.PERCENTILE.INC($B$2:$B$288,0.8),1)</f>
        <v>3</v>
      </c>
      <c r="F109" cm="1">
        <f t="array" ref="F109">_xlfn.IFS(C109&gt;=_xlfn.PERCENTILE.INC($C$2:$C$288,0.8),5,C109&gt;=_xlfn.PERCENTILE.INC($C$2:$C$288,0.6),4,C109&gt;=_xlfn.PERCENTILE.INC($C$2:$C$288,0.4),3,C109&gt;=_xlfn.PERCENTILE.INC($C$2:$C$288,0.2),2,C109&lt;_xlfn.PERCENTILE.INC($C$2:$C$288,0.2),1)</f>
        <v>3</v>
      </c>
      <c r="G109" cm="1">
        <f t="array" ref="G109">_xlfn.IFS(D109&gt;=_xlfn.PERCENTILE.INC($D$2:$D$288,0.8),5,D109&gt;=_xlfn.PERCENTILE.INC($D$2:$D$288,0.6),4,D109&gt;=_xlfn.PERCENTILE.INC($D$2:$D$288,0.4),3,D109&gt;=_xlfn.PERCENTILE.INC($D$2:$D$288,0.2),2,D109&lt;_xlfn.PERCENTILE.INC($D$2:$D$288,0.2),1)</f>
        <v>3</v>
      </c>
      <c r="H109">
        <f t="shared" si="1"/>
        <v>9</v>
      </c>
      <c r="I109" t="str" cm="1">
        <f t="array" ref="I109">_xlfn.IFS(H109&gt;=13,"Best Customers",H109&gt;=10,"Loyal Customers",H109&gt;=7,"Potential Loyal Customers",H109&gt;=4,"Need Attention",TRUE,"At Risk")</f>
        <v>Potential Loyal Customers</v>
      </c>
    </row>
    <row r="110" spans="1:9">
      <c r="A110" t="s">
        <v>177</v>
      </c>
      <c r="B110" s="4">
        <v>115.65699074073927</v>
      </c>
      <c r="C110">
        <v>3</v>
      </c>
      <c r="D110">
        <v>52.660000000000004</v>
      </c>
      <c r="E110" s="5" cm="1">
        <f t="array" ref="E110">_xlfn.IFS(B110&lt;=_xlfn.PERCENTILE.INC($B$2:$B$288,0.2),5,B110&lt;=_xlfn.PERCENTILE.INC($B$2:$B$288,0.4),4,B110&lt;=_xlfn.PERCENTILE.INC($B$2:$B$288,0.6),3,B110&lt;=_xlfn.PERCENTILE.INC($B$2:$B$288,0.8),2,B110&gt;_xlfn.PERCENTILE.INC($B$2:$B$288,0.8),1)</f>
        <v>3</v>
      </c>
      <c r="F110" cm="1">
        <f t="array" ref="F110">_xlfn.IFS(C110&gt;=_xlfn.PERCENTILE.INC($C$2:$C$288,0.8),5,C110&gt;=_xlfn.PERCENTILE.INC($C$2:$C$288,0.6),4,C110&gt;=_xlfn.PERCENTILE.INC($C$2:$C$288,0.4),3,C110&gt;=_xlfn.PERCENTILE.INC($C$2:$C$288,0.2),2,C110&lt;_xlfn.PERCENTILE.INC($C$2:$C$288,0.2),1)</f>
        <v>3</v>
      </c>
      <c r="G110" cm="1">
        <f t="array" ref="G110">_xlfn.IFS(D110&gt;=_xlfn.PERCENTILE.INC($D$2:$D$288,0.8),5,D110&gt;=_xlfn.PERCENTILE.INC($D$2:$D$288,0.6),4,D110&gt;=_xlfn.PERCENTILE.INC($D$2:$D$288,0.4),3,D110&gt;=_xlfn.PERCENTILE.INC($D$2:$D$288,0.2),2,D110&lt;_xlfn.PERCENTILE.INC($D$2:$D$288,0.2),1)</f>
        <v>3</v>
      </c>
      <c r="H110">
        <f t="shared" si="1"/>
        <v>9</v>
      </c>
      <c r="I110" t="str" cm="1">
        <f t="array" ref="I110">_xlfn.IFS(H110&gt;=13,"Best Customers",H110&gt;=10,"Loyal Customers",H110&gt;=7,"Potential Loyal Customers",H110&gt;=4,"Need Attention",TRUE,"At Risk")</f>
        <v>Potential Loyal Customers</v>
      </c>
    </row>
    <row r="111" spans="1:9">
      <c r="A111" t="s">
        <v>952</v>
      </c>
      <c r="B111" s="4">
        <v>149.65699074073927</v>
      </c>
      <c r="C111">
        <v>1</v>
      </c>
      <c r="D111">
        <v>4.38</v>
      </c>
      <c r="E111" s="5" cm="1">
        <f t="array" ref="E111">_xlfn.IFS(B111&lt;=_xlfn.PERCENTILE.INC($B$2:$B$288,0.2),5,B111&lt;=_xlfn.PERCENTILE.INC($B$2:$B$288,0.4),4,B111&lt;=_xlfn.PERCENTILE.INC($B$2:$B$288,0.6),3,B111&lt;=_xlfn.PERCENTILE.INC($B$2:$B$288,0.8),2,B111&gt;_xlfn.PERCENTILE.INC($B$2:$B$288,0.8),1)</f>
        <v>2</v>
      </c>
      <c r="F111" cm="1">
        <f t="array" ref="F111">_xlfn.IFS(C111&gt;=_xlfn.PERCENTILE.INC($C$2:$C$288,0.8),5,C111&gt;=_xlfn.PERCENTILE.INC($C$2:$C$288,0.6),4,C111&gt;=_xlfn.PERCENTILE.INC($C$2:$C$288,0.4),3,C111&gt;=_xlfn.PERCENTILE.INC($C$2:$C$288,0.2),2,C111&lt;_xlfn.PERCENTILE.INC($C$2:$C$288,0.2),1)</f>
        <v>1</v>
      </c>
      <c r="G111" cm="1">
        <f t="array" ref="G111">_xlfn.IFS(D111&gt;=_xlfn.PERCENTILE.INC($D$2:$D$288,0.8),5,D111&gt;=_xlfn.PERCENTILE.INC($D$2:$D$288,0.6),4,D111&gt;=_xlfn.PERCENTILE.INC($D$2:$D$288,0.4),3,D111&gt;=_xlfn.PERCENTILE.INC($D$2:$D$288,0.2),2,D111&lt;_xlfn.PERCENTILE.INC($D$2:$D$288,0.2),1)</f>
        <v>1</v>
      </c>
      <c r="H111">
        <f t="shared" si="1"/>
        <v>4</v>
      </c>
      <c r="I111" t="str" cm="1">
        <f t="array" ref="I111">_xlfn.IFS(H111&gt;=13,"Best Customers",H111&gt;=10,"Loyal Customers",H111&gt;=7,"Potential Loyal Customers",H111&gt;=4,"Need Attention",TRUE,"At Risk")</f>
        <v>Need Attention</v>
      </c>
    </row>
    <row r="112" spans="1:9">
      <c r="A112" t="s">
        <v>248</v>
      </c>
      <c r="B112" s="4">
        <v>31.656990740739275</v>
      </c>
      <c r="C112">
        <v>7</v>
      </c>
      <c r="D112">
        <v>150.87</v>
      </c>
      <c r="E112" s="5" cm="1">
        <f t="array" ref="E112">_xlfn.IFS(B112&lt;=_xlfn.PERCENTILE.INC($B$2:$B$288,0.2),5,B112&lt;=_xlfn.PERCENTILE.INC($B$2:$B$288,0.4),4,B112&lt;=_xlfn.PERCENTILE.INC($B$2:$B$288,0.6),3,B112&lt;=_xlfn.PERCENTILE.INC($B$2:$B$288,0.8),2,B112&gt;_xlfn.PERCENTILE.INC($B$2:$B$288,0.8),1)</f>
        <v>5</v>
      </c>
      <c r="F112" cm="1">
        <f t="array" ref="F112">_xlfn.IFS(C112&gt;=_xlfn.PERCENTILE.INC($C$2:$C$288,0.8),5,C112&gt;=_xlfn.PERCENTILE.INC($C$2:$C$288,0.6),4,C112&gt;=_xlfn.PERCENTILE.INC($C$2:$C$288,0.4),3,C112&gt;=_xlfn.PERCENTILE.INC($C$2:$C$288,0.2),2,C112&lt;_xlfn.PERCENTILE.INC($C$2:$C$288,0.2),1)</f>
        <v>5</v>
      </c>
      <c r="G112" cm="1">
        <f t="array" ref="G112">_xlfn.IFS(D112&gt;=_xlfn.PERCENTILE.INC($D$2:$D$288,0.8),5,D112&gt;=_xlfn.PERCENTILE.INC($D$2:$D$288,0.6),4,D112&gt;=_xlfn.PERCENTILE.INC($D$2:$D$288,0.4),3,D112&gt;=_xlfn.PERCENTILE.INC($D$2:$D$288,0.2),2,D112&lt;_xlfn.PERCENTILE.INC($D$2:$D$288,0.2),1)</f>
        <v>5</v>
      </c>
      <c r="H112">
        <f t="shared" si="1"/>
        <v>15</v>
      </c>
      <c r="I112" t="str" cm="1">
        <f t="array" ref="I112">_xlfn.IFS(H112&gt;=13,"Best Customers",H112&gt;=10,"Loyal Customers",H112&gt;=7,"Potential Loyal Customers",H112&gt;=4,"Need Attention",TRUE,"At Risk")</f>
        <v>Best Customers</v>
      </c>
    </row>
    <row r="113" spans="1:9">
      <c r="A113" t="s">
        <v>153</v>
      </c>
      <c r="B113" s="4">
        <v>98.656990740739275</v>
      </c>
      <c r="C113">
        <v>4</v>
      </c>
      <c r="D113">
        <v>46.040000000000006</v>
      </c>
      <c r="E113" s="5" cm="1">
        <f t="array" ref="E113">_xlfn.IFS(B113&lt;=_xlfn.PERCENTILE.INC($B$2:$B$288,0.2),5,B113&lt;=_xlfn.PERCENTILE.INC($B$2:$B$288,0.4),4,B113&lt;=_xlfn.PERCENTILE.INC($B$2:$B$288,0.6),3,B113&lt;=_xlfn.PERCENTILE.INC($B$2:$B$288,0.8),2,B113&gt;_xlfn.PERCENTILE.INC($B$2:$B$288,0.8),1)</f>
        <v>3</v>
      </c>
      <c r="F113" cm="1">
        <f t="array" ref="F113">_xlfn.IFS(C113&gt;=_xlfn.PERCENTILE.INC($C$2:$C$288,0.8),5,C113&gt;=_xlfn.PERCENTILE.INC($C$2:$C$288,0.6),4,C113&gt;=_xlfn.PERCENTILE.INC($C$2:$C$288,0.4),3,C113&gt;=_xlfn.PERCENTILE.INC($C$2:$C$288,0.2),2,C113&lt;_xlfn.PERCENTILE.INC($C$2:$C$288,0.2),1)</f>
        <v>4</v>
      </c>
      <c r="G113" cm="1">
        <f t="array" ref="G113">_xlfn.IFS(D113&gt;=_xlfn.PERCENTILE.INC($D$2:$D$288,0.8),5,D113&gt;=_xlfn.PERCENTILE.INC($D$2:$D$288,0.6),4,D113&gt;=_xlfn.PERCENTILE.INC($D$2:$D$288,0.4),3,D113&gt;=_xlfn.PERCENTILE.INC($D$2:$D$288,0.2),2,D113&lt;_xlfn.PERCENTILE.INC($D$2:$D$288,0.2),1)</f>
        <v>2</v>
      </c>
      <c r="H113">
        <f t="shared" si="1"/>
        <v>9</v>
      </c>
      <c r="I113" t="str" cm="1">
        <f t="array" ref="I113">_xlfn.IFS(H113&gt;=13,"Best Customers",H113&gt;=10,"Loyal Customers",H113&gt;=7,"Potential Loyal Customers",H113&gt;=4,"Need Attention",TRUE,"At Risk")</f>
        <v>Potential Loyal Customers</v>
      </c>
    </row>
    <row r="114" spans="1:9">
      <c r="A114" t="s">
        <v>409</v>
      </c>
      <c r="B114" s="4">
        <v>70.656990740739275</v>
      </c>
      <c r="C114">
        <v>5</v>
      </c>
      <c r="D114">
        <v>106.08</v>
      </c>
      <c r="E114" s="5" cm="1">
        <f t="array" ref="E114">_xlfn.IFS(B114&lt;=_xlfn.PERCENTILE.INC($B$2:$B$288,0.2),5,B114&lt;=_xlfn.PERCENTILE.INC($B$2:$B$288,0.4),4,B114&lt;=_xlfn.PERCENTILE.INC($B$2:$B$288,0.6),3,B114&lt;=_xlfn.PERCENTILE.INC($B$2:$B$288,0.8),2,B114&gt;_xlfn.PERCENTILE.INC($B$2:$B$288,0.8),1)</f>
        <v>4</v>
      </c>
      <c r="F114" cm="1">
        <f t="array" ref="F114">_xlfn.IFS(C114&gt;=_xlfn.PERCENTILE.INC($C$2:$C$288,0.8),5,C114&gt;=_xlfn.PERCENTILE.INC($C$2:$C$288,0.6),4,C114&gt;=_xlfn.PERCENTILE.INC($C$2:$C$288,0.4),3,C114&gt;=_xlfn.PERCENTILE.INC($C$2:$C$288,0.2),2,C114&lt;_xlfn.PERCENTILE.INC($C$2:$C$288,0.2),1)</f>
        <v>5</v>
      </c>
      <c r="G114" cm="1">
        <f t="array" ref="G114">_xlfn.IFS(D114&gt;=_xlfn.PERCENTILE.INC($D$2:$D$288,0.8),5,D114&gt;=_xlfn.PERCENTILE.INC($D$2:$D$288,0.6),4,D114&gt;=_xlfn.PERCENTILE.INC($D$2:$D$288,0.4),3,D114&gt;=_xlfn.PERCENTILE.INC($D$2:$D$288,0.2),2,D114&lt;_xlfn.PERCENTILE.INC($D$2:$D$288,0.2),1)</f>
        <v>5</v>
      </c>
      <c r="H114">
        <f t="shared" si="1"/>
        <v>14</v>
      </c>
      <c r="I114" t="str" cm="1">
        <f t="array" ref="I114">_xlfn.IFS(H114&gt;=13,"Best Customers",H114&gt;=10,"Loyal Customers",H114&gt;=7,"Potential Loyal Customers",H114&gt;=4,"Need Attention",TRUE,"At Risk")</f>
        <v>Best Customers</v>
      </c>
    </row>
    <row r="115" spans="1:9">
      <c r="A115" t="s">
        <v>374</v>
      </c>
      <c r="B115" s="4">
        <v>40.656990740739275</v>
      </c>
      <c r="C115">
        <v>5</v>
      </c>
      <c r="D115">
        <v>88.56</v>
      </c>
      <c r="E115" s="5" cm="1">
        <f t="array" ref="E115">_xlfn.IFS(B115&lt;=_xlfn.PERCENTILE.INC($B$2:$B$288,0.2),5,B115&lt;=_xlfn.PERCENTILE.INC($B$2:$B$288,0.4),4,B115&lt;=_xlfn.PERCENTILE.INC($B$2:$B$288,0.6),3,B115&lt;=_xlfn.PERCENTILE.INC($B$2:$B$288,0.8),2,B115&gt;_xlfn.PERCENTILE.INC($B$2:$B$288,0.8),1)</f>
        <v>5</v>
      </c>
      <c r="F115" cm="1">
        <f t="array" ref="F115">_xlfn.IFS(C115&gt;=_xlfn.PERCENTILE.INC($C$2:$C$288,0.8),5,C115&gt;=_xlfn.PERCENTILE.INC($C$2:$C$288,0.6),4,C115&gt;=_xlfn.PERCENTILE.INC($C$2:$C$288,0.4),3,C115&gt;=_xlfn.PERCENTILE.INC($C$2:$C$288,0.2),2,C115&lt;_xlfn.PERCENTILE.INC($C$2:$C$288,0.2),1)</f>
        <v>5</v>
      </c>
      <c r="G115" cm="1">
        <f t="array" ref="G115">_xlfn.IFS(D115&gt;=_xlfn.PERCENTILE.INC($D$2:$D$288,0.8),5,D115&gt;=_xlfn.PERCENTILE.INC($D$2:$D$288,0.6),4,D115&gt;=_xlfn.PERCENTILE.INC($D$2:$D$288,0.4),3,D115&gt;=_xlfn.PERCENTILE.INC($D$2:$D$288,0.2),2,D115&lt;_xlfn.PERCENTILE.INC($D$2:$D$288,0.2),1)</f>
        <v>4</v>
      </c>
      <c r="H115">
        <f t="shared" si="1"/>
        <v>14</v>
      </c>
      <c r="I115" t="str" cm="1">
        <f t="array" ref="I115">_xlfn.IFS(H115&gt;=13,"Best Customers",H115&gt;=10,"Loyal Customers",H115&gt;=7,"Potential Loyal Customers",H115&gt;=4,"Need Attention",TRUE,"At Risk")</f>
        <v>Best Customers</v>
      </c>
    </row>
    <row r="116" spans="1:9">
      <c r="A116" t="s">
        <v>1089</v>
      </c>
      <c r="B116" s="4">
        <v>133.65699074073927</v>
      </c>
      <c r="C116">
        <v>2</v>
      </c>
      <c r="D116">
        <v>44.730000000000004</v>
      </c>
      <c r="E116" s="5" cm="1">
        <f t="array" ref="E116">_xlfn.IFS(B116&lt;=_xlfn.PERCENTILE.INC($B$2:$B$288,0.2),5,B116&lt;=_xlfn.PERCENTILE.INC($B$2:$B$288,0.4),4,B116&lt;=_xlfn.PERCENTILE.INC($B$2:$B$288,0.6),3,B116&lt;=_xlfn.PERCENTILE.INC($B$2:$B$288,0.8),2,B116&gt;_xlfn.PERCENTILE.INC($B$2:$B$288,0.8),1)</f>
        <v>2</v>
      </c>
      <c r="F116" cm="1">
        <f t="array" ref="F116">_xlfn.IFS(C116&gt;=_xlfn.PERCENTILE.INC($C$2:$C$288,0.8),5,C116&gt;=_xlfn.PERCENTILE.INC($C$2:$C$288,0.6),4,C116&gt;=_xlfn.PERCENTILE.INC($C$2:$C$288,0.4),3,C116&gt;=_xlfn.PERCENTILE.INC($C$2:$C$288,0.2),2,C116&lt;_xlfn.PERCENTILE.INC($C$2:$C$288,0.2),1)</f>
        <v>2</v>
      </c>
      <c r="G116" cm="1">
        <f t="array" ref="G116">_xlfn.IFS(D116&gt;=_xlfn.PERCENTILE.INC($D$2:$D$288,0.8),5,D116&gt;=_xlfn.PERCENTILE.INC($D$2:$D$288,0.6),4,D116&gt;=_xlfn.PERCENTILE.INC($D$2:$D$288,0.4),3,D116&gt;=_xlfn.PERCENTILE.INC($D$2:$D$288,0.2),2,D116&lt;_xlfn.PERCENTILE.INC($D$2:$D$288,0.2),1)</f>
        <v>2</v>
      </c>
      <c r="H116">
        <f t="shared" si="1"/>
        <v>6</v>
      </c>
      <c r="I116" t="str" cm="1">
        <f t="array" ref="I116">_xlfn.IFS(H116&gt;=13,"Best Customers",H116&gt;=10,"Loyal Customers",H116&gt;=7,"Potential Loyal Customers",H116&gt;=4,"Need Attention",TRUE,"At Risk")</f>
        <v>Need Attention</v>
      </c>
    </row>
    <row r="117" spans="1:9">
      <c r="A117" t="s">
        <v>493</v>
      </c>
      <c r="B117" s="4">
        <v>72.656990740739275</v>
      </c>
      <c r="C117">
        <v>3</v>
      </c>
      <c r="D117">
        <v>45.870000000000005</v>
      </c>
      <c r="E117" s="5" cm="1">
        <f t="array" ref="E117">_xlfn.IFS(B117&lt;=_xlfn.PERCENTILE.INC($B$2:$B$288,0.2),5,B117&lt;=_xlfn.PERCENTILE.INC($B$2:$B$288,0.4),4,B117&lt;=_xlfn.PERCENTILE.INC($B$2:$B$288,0.6),3,B117&lt;=_xlfn.PERCENTILE.INC($B$2:$B$288,0.8),2,B117&gt;_xlfn.PERCENTILE.INC($B$2:$B$288,0.8),1)</f>
        <v>3</v>
      </c>
      <c r="F117" cm="1">
        <f t="array" ref="F117">_xlfn.IFS(C117&gt;=_xlfn.PERCENTILE.INC($C$2:$C$288,0.8),5,C117&gt;=_xlfn.PERCENTILE.INC($C$2:$C$288,0.6),4,C117&gt;=_xlfn.PERCENTILE.INC($C$2:$C$288,0.4),3,C117&gt;=_xlfn.PERCENTILE.INC($C$2:$C$288,0.2),2,C117&lt;_xlfn.PERCENTILE.INC($C$2:$C$288,0.2),1)</f>
        <v>3</v>
      </c>
      <c r="G117" cm="1">
        <f t="array" ref="G117">_xlfn.IFS(D117&gt;=_xlfn.PERCENTILE.INC($D$2:$D$288,0.8),5,D117&gt;=_xlfn.PERCENTILE.INC($D$2:$D$288,0.6),4,D117&gt;=_xlfn.PERCENTILE.INC($D$2:$D$288,0.4),3,D117&gt;=_xlfn.PERCENTILE.INC($D$2:$D$288,0.2),2,D117&lt;_xlfn.PERCENTILE.INC($D$2:$D$288,0.2),1)</f>
        <v>2</v>
      </c>
      <c r="H117">
        <f t="shared" si="1"/>
        <v>8</v>
      </c>
      <c r="I117" t="str" cm="1">
        <f t="array" ref="I117">_xlfn.IFS(H117&gt;=13,"Best Customers",H117&gt;=10,"Loyal Customers",H117&gt;=7,"Potential Loyal Customers",H117&gt;=4,"Need Attention",TRUE,"At Risk")</f>
        <v>Potential Loyal Customers</v>
      </c>
    </row>
    <row r="118" spans="1:9">
      <c r="A118" t="s">
        <v>151</v>
      </c>
      <c r="B118" s="4">
        <v>78.656990740739275</v>
      </c>
      <c r="C118">
        <v>3</v>
      </c>
      <c r="D118">
        <v>59.820000000000007</v>
      </c>
      <c r="E118" s="5" cm="1">
        <f t="array" ref="E118">_xlfn.IFS(B118&lt;=_xlfn.PERCENTILE.INC($B$2:$B$288,0.2),5,B118&lt;=_xlfn.PERCENTILE.INC($B$2:$B$288,0.4),4,B118&lt;=_xlfn.PERCENTILE.INC($B$2:$B$288,0.6),3,B118&lt;=_xlfn.PERCENTILE.INC($B$2:$B$288,0.8),2,B118&gt;_xlfn.PERCENTILE.INC($B$2:$B$288,0.8),1)</f>
        <v>3</v>
      </c>
      <c r="F118" cm="1">
        <f t="array" ref="F118">_xlfn.IFS(C118&gt;=_xlfn.PERCENTILE.INC($C$2:$C$288,0.8),5,C118&gt;=_xlfn.PERCENTILE.INC($C$2:$C$288,0.6),4,C118&gt;=_xlfn.PERCENTILE.INC($C$2:$C$288,0.4),3,C118&gt;=_xlfn.PERCENTILE.INC($C$2:$C$288,0.2),2,C118&lt;_xlfn.PERCENTILE.INC($C$2:$C$288,0.2),1)</f>
        <v>3</v>
      </c>
      <c r="G118" cm="1">
        <f t="array" ref="G118">_xlfn.IFS(D118&gt;=_xlfn.PERCENTILE.INC($D$2:$D$288,0.8),5,D118&gt;=_xlfn.PERCENTILE.INC($D$2:$D$288,0.6),4,D118&gt;=_xlfn.PERCENTILE.INC($D$2:$D$288,0.4),3,D118&gt;=_xlfn.PERCENTILE.INC($D$2:$D$288,0.2),2,D118&lt;_xlfn.PERCENTILE.INC($D$2:$D$288,0.2),1)</f>
        <v>3</v>
      </c>
      <c r="H118">
        <f t="shared" si="1"/>
        <v>9</v>
      </c>
      <c r="I118" t="str" cm="1">
        <f t="array" ref="I118">_xlfn.IFS(H118&gt;=13,"Best Customers",H118&gt;=10,"Loyal Customers",H118&gt;=7,"Potential Loyal Customers",H118&gt;=4,"Need Attention",TRUE,"At Risk")</f>
        <v>Potential Loyal Customers</v>
      </c>
    </row>
    <row r="119" spans="1:9">
      <c r="A119" t="s">
        <v>736</v>
      </c>
      <c r="B119" s="4">
        <v>202.65699074073927</v>
      </c>
      <c r="C119">
        <v>2</v>
      </c>
      <c r="D119">
        <v>27.5</v>
      </c>
      <c r="E119" s="5" cm="1">
        <f t="array" ref="E119">_xlfn.IFS(B119&lt;=_xlfn.PERCENTILE.INC($B$2:$B$288,0.2),5,B119&lt;=_xlfn.PERCENTILE.INC($B$2:$B$288,0.4),4,B119&lt;=_xlfn.PERCENTILE.INC($B$2:$B$288,0.6),3,B119&lt;=_xlfn.PERCENTILE.INC($B$2:$B$288,0.8),2,B119&gt;_xlfn.PERCENTILE.INC($B$2:$B$288,0.8),1)</f>
        <v>1</v>
      </c>
      <c r="F119" cm="1">
        <f t="array" ref="F119">_xlfn.IFS(C119&gt;=_xlfn.PERCENTILE.INC($C$2:$C$288,0.8),5,C119&gt;=_xlfn.PERCENTILE.INC($C$2:$C$288,0.6),4,C119&gt;=_xlfn.PERCENTILE.INC($C$2:$C$288,0.4),3,C119&gt;=_xlfn.PERCENTILE.INC($C$2:$C$288,0.2),2,C119&lt;_xlfn.PERCENTILE.INC($C$2:$C$288,0.2),1)</f>
        <v>2</v>
      </c>
      <c r="G119" cm="1">
        <f t="array" ref="G119">_xlfn.IFS(D119&gt;=_xlfn.PERCENTILE.INC($D$2:$D$288,0.8),5,D119&gt;=_xlfn.PERCENTILE.INC($D$2:$D$288,0.6),4,D119&gt;=_xlfn.PERCENTILE.INC($D$2:$D$288,0.4),3,D119&gt;=_xlfn.PERCENTILE.INC($D$2:$D$288,0.2),2,D119&lt;_xlfn.PERCENTILE.INC($D$2:$D$288,0.2),1)</f>
        <v>2</v>
      </c>
      <c r="H119">
        <f t="shared" si="1"/>
        <v>5</v>
      </c>
      <c r="I119" t="str" cm="1">
        <f t="array" ref="I119">_xlfn.IFS(H119&gt;=13,"Best Customers",H119&gt;=10,"Loyal Customers",H119&gt;=7,"Potential Loyal Customers",H119&gt;=4,"Need Attention",TRUE,"At Risk")</f>
        <v>Need Attention</v>
      </c>
    </row>
    <row r="120" spans="1:9">
      <c r="A120" t="s">
        <v>102</v>
      </c>
      <c r="B120" s="4">
        <v>215.65699074073927</v>
      </c>
      <c r="C120">
        <v>3</v>
      </c>
      <c r="D120">
        <v>41.379999999999995</v>
      </c>
      <c r="E120" s="5" cm="1">
        <f t="array" ref="E120">_xlfn.IFS(B120&lt;=_xlfn.PERCENTILE.INC($B$2:$B$288,0.2),5,B120&lt;=_xlfn.PERCENTILE.INC($B$2:$B$288,0.4),4,B120&lt;=_xlfn.PERCENTILE.INC($B$2:$B$288,0.6),3,B120&lt;=_xlfn.PERCENTILE.INC($B$2:$B$288,0.8),2,B120&gt;_xlfn.PERCENTILE.INC($B$2:$B$288,0.8),1)</f>
        <v>1</v>
      </c>
      <c r="F120" cm="1">
        <f t="array" ref="F120">_xlfn.IFS(C120&gt;=_xlfn.PERCENTILE.INC($C$2:$C$288,0.8),5,C120&gt;=_xlfn.PERCENTILE.INC($C$2:$C$288,0.6),4,C120&gt;=_xlfn.PERCENTILE.INC($C$2:$C$288,0.4),3,C120&gt;=_xlfn.PERCENTILE.INC($C$2:$C$288,0.2),2,C120&lt;_xlfn.PERCENTILE.INC($C$2:$C$288,0.2),1)</f>
        <v>3</v>
      </c>
      <c r="G120" cm="1">
        <f t="array" ref="G120">_xlfn.IFS(D120&gt;=_xlfn.PERCENTILE.INC($D$2:$D$288,0.8),5,D120&gt;=_xlfn.PERCENTILE.INC($D$2:$D$288,0.6),4,D120&gt;=_xlfn.PERCENTILE.INC($D$2:$D$288,0.4),3,D120&gt;=_xlfn.PERCENTILE.INC($D$2:$D$288,0.2),2,D120&lt;_xlfn.PERCENTILE.INC($D$2:$D$288,0.2),1)</f>
        <v>2</v>
      </c>
      <c r="H120">
        <f t="shared" si="1"/>
        <v>6</v>
      </c>
      <c r="I120" t="str" cm="1">
        <f t="array" ref="I120">_xlfn.IFS(H120&gt;=13,"Best Customers",H120&gt;=10,"Loyal Customers",H120&gt;=7,"Potential Loyal Customers",H120&gt;=4,"Need Attention",TRUE,"At Risk")</f>
        <v>Need Attention</v>
      </c>
    </row>
    <row r="121" spans="1:9">
      <c r="A121" t="s">
        <v>1122</v>
      </c>
      <c r="B121" s="4">
        <v>198.65699074073927</v>
      </c>
      <c r="C121">
        <v>2</v>
      </c>
      <c r="D121">
        <v>20.420000000000002</v>
      </c>
      <c r="E121" s="5" cm="1">
        <f t="array" ref="E121">_xlfn.IFS(B121&lt;=_xlfn.PERCENTILE.INC($B$2:$B$288,0.2),5,B121&lt;=_xlfn.PERCENTILE.INC($B$2:$B$288,0.4),4,B121&lt;=_xlfn.PERCENTILE.INC($B$2:$B$288,0.6),3,B121&lt;=_xlfn.PERCENTILE.INC($B$2:$B$288,0.8),2,B121&gt;_xlfn.PERCENTILE.INC($B$2:$B$288,0.8),1)</f>
        <v>1</v>
      </c>
      <c r="F121" cm="1">
        <f t="array" ref="F121">_xlfn.IFS(C121&gt;=_xlfn.PERCENTILE.INC($C$2:$C$288,0.8),5,C121&gt;=_xlfn.PERCENTILE.INC($C$2:$C$288,0.6),4,C121&gt;=_xlfn.PERCENTILE.INC($C$2:$C$288,0.4),3,C121&gt;=_xlfn.PERCENTILE.INC($C$2:$C$288,0.2),2,C121&lt;_xlfn.PERCENTILE.INC($C$2:$C$288,0.2),1)</f>
        <v>2</v>
      </c>
      <c r="G121" cm="1">
        <f t="array" ref="G121">_xlfn.IFS(D121&gt;=_xlfn.PERCENTILE.INC($D$2:$D$288,0.8),5,D121&gt;=_xlfn.PERCENTILE.INC($D$2:$D$288,0.6),4,D121&gt;=_xlfn.PERCENTILE.INC($D$2:$D$288,0.4),3,D121&gt;=_xlfn.PERCENTILE.INC($D$2:$D$288,0.2),2,D121&lt;_xlfn.PERCENTILE.INC($D$2:$D$288,0.2),1)</f>
        <v>1</v>
      </c>
      <c r="H121">
        <f t="shared" si="1"/>
        <v>4</v>
      </c>
      <c r="I121" t="str" cm="1">
        <f t="array" ref="I121">_xlfn.IFS(H121&gt;=13,"Best Customers",H121&gt;=10,"Loyal Customers",H121&gt;=7,"Potential Loyal Customers",H121&gt;=4,"Need Attention",TRUE,"At Risk")</f>
        <v>Need Attention</v>
      </c>
    </row>
    <row r="122" spans="1:9">
      <c r="A122" t="s">
        <v>215</v>
      </c>
      <c r="B122" s="4">
        <v>154.65699074073927</v>
      </c>
      <c r="C122">
        <v>2</v>
      </c>
      <c r="D122">
        <v>23.58</v>
      </c>
      <c r="E122" s="5" cm="1">
        <f t="array" ref="E122">_xlfn.IFS(B122&lt;=_xlfn.PERCENTILE.INC($B$2:$B$288,0.2),5,B122&lt;=_xlfn.PERCENTILE.INC($B$2:$B$288,0.4),4,B122&lt;=_xlfn.PERCENTILE.INC($B$2:$B$288,0.6),3,B122&lt;=_xlfn.PERCENTILE.INC($B$2:$B$288,0.8),2,B122&gt;_xlfn.PERCENTILE.INC($B$2:$B$288,0.8),1)</f>
        <v>2</v>
      </c>
      <c r="F122" cm="1">
        <f t="array" ref="F122">_xlfn.IFS(C122&gt;=_xlfn.PERCENTILE.INC($C$2:$C$288,0.8),5,C122&gt;=_xlfn.PERCENTILE.INC($C$2:$C$288,0.6),4,C122&gt;=_xlfn.PERCENTILE.INC($C$2:$C$288,0.4),3,C122&gt;=_xlfn.PERCENTILE.INC($C$2:$C$288,0.2),2,C122&lt;_xlfn.PERCENTILE.INC($C$2:$C$288,0.2),1)</f>
        <v>2</v>
      </c>
      <c r="G122" cm="1">
        <f t="array" ref="G122">_xlfn.IFS(D122&gt;=_xlfn.PERCENTILE.INC($D$2:$D$288,0.8),5,D122&gt;=_xlfn.PERCENTILE.INC($D$2:$D$288,0.6),4,D122&gt;=_xlfn.PERCENTILE.INC($D$2:$D$288,0.4),3,D122&gt;=_xlfn.PERCENTILE.INC($D$2:$D$288,0.2),2,D122&lt;_xlfn.PERCENTILE.INC($D$2:$D$288,0.2),1)</f>
        <v>1</v>
      </c>
      <c r="H122">
        <f t="shared" si="1"/>
        <v>5</v>
      </c>
      <c r="I122" t="str" cm="1">
        <f t="array" ref="I122">_xlfn.IFS(H122&gt;=13,"Best Customers",H122&gt;=10,"Loyal Customers",H122&gt;=7,"Potential Loyal Customers",H122&gt;=4,"Need Attention",TRUE,"At Risk")</f>
        <v>Need Attention</v>
      </c>
    </row>
    <row r="123" spans="1:9">
      <c r="A123" t="s">
        <v>266</v>
      </c>
      <c r="B123" s="4">
        <v>44.656990740739275</v>
      </c>
      <c r="C123">
        <v>3</v>
      </c>
      <c r="D123">
        <v>53.66</v>
      </c>
      <c r="E123" s="5" cm="1">
        <f t="array" ref="E123">_xlfn.IFS(B123&lt;=_xlfn.PERCENTILE.INC($B$2:$B$288,0.2),5,B123&lt;=_xlfn.PERCENTILE.INC($B$2:$B$288,0.4),4,B123&lt;=_xlfn.PERCENTILE.INC($B$2:$B$288,0.6),3,B123&lt;=_xlfn.PERCENTILE.INC($B$2:$B$288,0.8),2,B123&gt;_xlfn.PERCENTILE.INC($B$2:$B$288,0.8),1)</f>
        <v>4</v>
      </c>
      <c r="F123" cm="1">
        <f t="array" ref="F123">_xlfn.IFS(C123&gt;=_xlfn.PERCENTILE.INC($C$2:$C$288,0.8),5,C123&gt;=_xlfn.PERCENTILE.INC($C$2:$C$288,0.6),4,C123&gt;=_xlfn.PERCENTILE.INC($C$2:$C$288,0.4),3,C123&gt;=_xlfn.PERCENTILE.INC($C$2:$C$288,0.2),2,C123&lt;_xlfn.PERCENTILE.INC($C$2:$C$288,0.2),1)</f>
        <v>3</v>
      </c>
      <c r="G123" cm="1">
        <f t="array" ref="G123">_xlfn.IFS(D123&gt;=_xlfn.PERCENTILE.INC($D$2:$D$288,0.8),5,D123&gt;=_xlfn.PERCENTILE.INC($D$2:$D$288,0.6),4,D123&gt;=_xlfn.PERCENTILE.INC($D$2:$D$288,0.4),3,D123&gt;=_xlfn.PERCENTILE.INC($D$2:$D$288,0.2),2,D123&lt;_xlfn.PERCENTILE.INC($D$2:$D$288,0.2),1)</f>
        <v>3</v>
      </c>
      <c r="H123">
        <f t="shared" si="1"/>
        <v>10</v>
      </c>
      <c r="I123" t="str" cm="1">
        <f t="array" ref="I123">_xlfn.IFS(H123&gt;=13,"Best Customers",H123&gt;=10,"Loyal Customers",H123&gt;=7,"Potential Loyal Customers",H123&gt;=4,"Need Attention",TRUE,"At Risk")</f>
        <v>Loyal Customers</v>
      </c>
    </row>
    <row r="124" spans="1:9">
      <c r="A124" t="s">
        <v>542</v>
      </c>
      <c r="B124" s="4">
        <v>162.65699074073927</v>
      </c>
      <c r="C124">
        <v>3</v>
      </c>
      <c r="D124">
        <v>46.099999999999994</v>
      </c>
      <c r="E124" s="5" cm="1">
        <f t="array" ref="E124">_xlfn.IFS(B124&lt;=_xlfn.PERCENTILE.INC($B$2:$B$288,0.2),5,B124&lt;=_xlfn.PERCENTILE.INC($B$2:$B$288,0.4),4,B124&lt;=_xlfn.PERCENTILE.INC($B$2:$B$288,0.6),3,B124&lt;=_xlfn.PERCENTILE.INC($B$2:$B$288,0.8),2,B124&gt;_xlfn.PERCENTILE.INC($B$2:$B$288,0.8),1)</f>
        <v>2</v>
      </c>
      <c r="F124" cm="1">
        <f t="array" ref="F124">_xlfn.IFS(C124&gt;=_xlfn.PERCENTILE.INC($C$2:$C$288,0.8),5,C124&gt;=_xlfn.PERCENTILE.INC($C$2:$C$288,0.6),4,C124&gt;=_xlfn.PERCENTILE.INC($C$2:$C$288,0.4),3,C124&gt;=_xlfn.PERCENTILE.INC($C$2:$C$288,0.2),2,C124&lt;_xlfn.PERCENTILE.INC($C$2:$C$288,0.2),1)</f>
        <v>3</v>
      </c>
      <c r="G124" cm="1">
        <f t="array" ref="G124">_xlfn.IFS(D124&gt;=_xlfn.PERCENTILE.INC($D$2:$D$288,0.8),5,D124&gt;=_xlfn.PERCENTILE.INC($D$2:$D$288,0.6),4,D124&gt;=_xlfn.PERCENTILE.INC($D$2:$D$288,0.4),3,D124&gt;=_xlfn.PERCENTILE.INC($D$2:$D$288,0.2),2,D124&lt;_xlfn.PERCENTILE.INC($D$2:$D$288,0.2),1)</f>
        <v>2</v>
      </c>
      <c r="H124">
        <f t="shared" si="1"/>
        <v>7</v>
      </c>
      <c r="I124" t="str" cm="1">
        <f t="array" ref="I124">_xlfn.IFS(H124&gt;=13,"Best Customers",H124&gt;=10,"Loyal Customers",H124&gt;=7,"Potential Loyal Customers",H124&gt;=4,"Need Attention",TRUE,"At Risk")</f>
        <v>Potential Loyal Customers</v>
      </c>
    </row>
    <row r="125" spans="1:9">
      <c r="A125" t="s">
        <v>28</v>
      </c>
      <c r="B125" s="4">
        <v>167.65699074073927</v>
      </c>
      <c r="C125">
        <v>6</v>
      </c>
      <c r="D125">
        <v>70.78</v>
      </c>
      <c r="E125" s="5" cm="1">
        <f t="array" ref="E125">_xlfn.IFS(B125&lt;=_xlfn.PERCENTILE.INC($B$2:$B$288,0.2),5,B125&lt;=_xlfn.PERCENTILE.INC($B$2:$B$288,0.4),4,B125&lt;=_xlfn.PERCENTILE.INC($B$2:$B$288,0.6),3,B125&lt;=_xlfn.PERCENTILE.INC($B$2:$B$288,0.8),2,B125&gt;_xlfn.PERCENTILE.INC($B$2:$B$288,0.8),1)</f>
        <v>2</v>
      </c>
      <c r="F125" cm="1">
        <f t="array" ref="F125">_xlfn.IFS(C125&gt;=_xlfn.PERCENTILE.INC($C$2:$C$288,0.8),5,C125&gt;=_xlfn.PERCENTILE.INC($C$2:$C$288,0.6),4,C125&gt;=_xlfn.PERCENTILE.INC($C$2:$C$288,0.4),3,C125&gt;=_xlfn.PERCENTILE.INC($C$2:$C$288,0.2),2,C125&lt;_xlfn.PERCENTILE.INC($C$2:$C$288,0.2),1)</f>
        <v>5</v>
      </c>
      <c r="G125" cm="1">
        <f t="array" ref="G125">_xlfn.IFS(D125&gt;=_xlfn.PERCENTILE.INC($D$2:$D$288,0.8),5,D125&gt;=_xlfn.PERCENTILE.INC($D$2:$D$288,0.6),4,D125&gt;=_xlfn.PERCENTILE.INC($D$2:$D$288,0.4),3,D125&gt;=_xlfn.PERCENTILE.INC($D$2:$D$288,0.2),2,D125&lt;_xlfn.PERCENTILE.INC($D$2:$D$288,0.2),1)</f>
        <v>4</v>
      </c>
      <c r="H125">
        <f t="shared" si="1"/>
        <v>11</v>
      </c>
      <c r="I125" t="str" cm="1">
        <f t="array" ref="I125">_xlfn.IFS(H125&gt;=13,"Best Customers",H125&gt;=10,"Loyal Customers",H125&gt;=7,"Potential Loyal Customers",H125&gt;=4,"Need Attention",TRUE,"At Risk")</f>
        <v>Loyal Customers</v>
      </c>
    </row>
    <row r="126" spans="1:9">
      <c r="A126" t="s">
        <v>337</v>
      </c>
      <c r="B126" s="4">
        <v>28.656990740739275</v>
      </c>
      <c r="C126">
        <v>5</v>
      </c>
      <c r="D126">
        <v>131.69</v>
      </c>
      <c r="E126" s="5" cm="1">
        <f t="array" ref="E126">_xlfn.IFS(B126&lt;=_xlfn.PERCENTILE.INC($B$2:$B$288,0.2),5,B126&lt;=_xlfn.PERCENTILE.INC($B$2:$B$288,0.4),4,B126&lt;=_xlfn.PERCENTILE.INC($B$2:$B$288,0.6),3,B126&lt;=_xlfn.PERCENTILE.INC($B$2:$B$288,0.8),2,B126&gt;_xlfn.PERCENTILE.INC($B$2:$B$288,0.8),1)</f>
        <v>5</v>
      </c>
      <c r="F126" cm="1">
        <f t="array" ref="F126">_xlfn.IFS(C126&gt;=_xlfn.PERCENTILE.INC($C$2:$C$288,0.8),5,C126&gt;=_xlfn.PERCENTILE.INC($C$2:$C$288,0.6),4,C126&gt;=_xlfn.PERCENTILE.INC($C$2:$C$288,0.4),3,C126&gt;=_xlfn.PERCENTILE.INC($C$2:$C$288,0.2),2,C126&lt;_xlfn.PERCENTILE.INC($C$2:$C$288,0.2),1)</f>
        <v>5</v>
      </c>
      <c r="G126" cm="1">
        <f t="array" ref="G126">_xlfn.IFS(D126&gt;=_xlfn.PERCENTILE.INC($D$2:$D$288,0.8),5,D126&gt;=_xlfn.PERCENTILE.INC($D$2:$D$288,0.6),4,D126&gt;=_xlfn.PERCENTILE.INC($D$2:$D$288,0.4),3,D126&gt;=_xlfn.PERCENTILE.INC($D$2:$D$288,0.2),2,D126&lt;_xlfn.PERCENTILE.INC($D$2:$D$288,0.2),1)</f>
        <v>5</v>
      </c>
      <c r="H126">
        <f t="shared" si="1"/>
        <v>15</v>
      </c>
      <c r="I126" t="str" cm="1">
        <f t="array" ref="I126">_xlfn.IFS(H126&gt;=13,"Best Customers",H126&gt;=10,"Loyal Customers",H126&gt;=7,"Potential Loyal Customers",H126&gt;=4,"Need Attention",TRUE,"At Risk")</f>
        <v>Best Customers</v>
      </c>
    </row>
    <row r="127" spans="1:9">
      <c r="A127" t="s">
        <v>82</v>
      </c>
      <c r="B127" s="4">
        <v>93.656990740739275</v>
      </c>
      <c r="C127">
        <v>4</v>
      </c>
      <c r="D127">
        <v>65.009999999999991</v>
      </c>
      <c r="E127" s="5" cm="1">
        <f t="array" ref="E127">_xlfn.IFS(B127&lt;=_xlfn.PERCENTILE.INC($B$2:$B$288,0.2),5,B127&lt;=_xlfn.PERCENTILE.INC($B$2:$B$288,0.4),4,B127&lt;=_xlfn.PERCENTILE.INC($B$2:$B$288,0.6),3,B127&lt;=_xlfn.PERCENTILE.INC($B$2:$B$288,0.8),2,B127&gt;_xlfn.PERCENTILE.INC($B$2:$B$288,0.8),1)</f>
        <v>3</v>
      </c>
      <c r="F127" cm="1">
        <f t="array" ref="F127">_xlfn.IFS(C127&gt;=_xlfn.PERCENTILE.INC($C$2:$C$288,0.8),5,C127&gt;=_xlfn.PERCENTILE.INC($C$2:$C$288,0.6),4,C127&gt;=_xlfn.PERCENTILE.INC($C$2:$C$288,0.4),3,C127&gt;=_xlfn.PERCENTILE.INC($C$2:$C$288,0.2),2,C127&lt;_xlfn.PERCENTILE.INC($C$2:$C$288,0.2),1)</f>
        <v>4</v>
      </c>
      <c r="G127" cm="1">
        <f t="array" ref="G127">_xlfn.IFS(D127&gt;=_xlfn.PERCENTILE.INC($D$2:$D$288,0.8),5,D127&gt;=_xlfn.PERCENTILE.INC($D$2:$D$288,0.6),4,D127&gt;=_xlfn.PERCENTILE.INC($D$2:$D$288,0.4),3,D127&gt;=_xlfn.PERCENTILE.INC($D$2:$D$288,0.2),2,D127&lt;_xlfn.PERCENTILE.INC($D$2:$D$288,0.2),1)</f>
        <v>4</v>
      </c>
      <c r="H127">
        <f t="shared" si="1"/>
        <v>11</v>
      </c>
      <c r="I127" t="str" cm="1">
        <f t="array" ref="I127">_xlfn.IFS(H127&gt;=13,"Best Customers",H127&gt;=10,"Loyal Customers",H127&gt;=7,"Potential Loyal Customers",H127&gt;=4,"Need Attention",TRUE,"At Risk")</f>
        <v>Loyal Customers</v>
      </c>
    </row>
    <row r="128" spans="1:9">
      <c r="A128" t="s">
        <v>211</v>
      </c>
      <c r="B128" s="4">
        <v>54.656990740739275</v>
      </c>
      <c r="C128">
        <v>4</v>
      </c>
      <c r="D128">
        <v>57.97</v>
      </c>
      <c r="E128" s="5" cm="1">
        <f t="array" ref="E128">_xlfn.IFS(B128&lt;=_xlfn.PERCENTILE.INC($B$2:$B$288,0.2),5,B128&lt;=_xlfn.PERCENTILE.INC($B$2:$B$288,0.4),4,B128&lt;=_xlfn.PERCENTILE.INC($B$2:$B$288,0.6),3,B128&lt;=_xlfn.PERCENTILE.INC($B$2:$B$288,0.8),2,B128&gt;_xlfn.PERCENTILE.INC($B$2:$B$288,0.8),1)</f>
        <v>4</v>
      </c>
      <c r="F128" cm="1">
        <f t="array" ref="F128">_xlfn.IFS(C128&gt;=_xlfn.PERCENTILE.INC($C$2:$C$288,0.8),5,C128&gt;=_xlfn.PERCENTILE.INC($C$2:$C$288,0.6),4,C128&gt;=_xlfn.PERCENTILE.INC($C$2:$C$288,0.4),3,C128&gt;=_xlfn.PERCENTILE.INC($C$2:$C$288,0.2),2,C128&lt;_xlfn.PERCENTILE.INC($C$2:$C$288,0.2),1)</f>
        <v>4</v>
      </c>
      <c r="G128" cm="1">
        <f t="array" ref="G128">_xlfn.IFS(D128&gt;=_xlfn.PERCENTILE.INC($D$2:$D$288,0.8),5,D128&gt;=_xlfn.PERCENTILE.INC($D$2:$D$288,0.6),4,D128&gt;=_xlfn.PERCENTILE.INC($D$2:$D$288,0.4),3,D128&gt;=_xlfn.PERCENTILE.INC($D$2:$D$288,0.2),2,D128&lt;_xlfn.PERCENTILE.INC($D$2:$D$288,0.2),1)</f>
        <v>3</v>
      </c>
      <c r="H128">
        <f t="shared" si="1"/>
        <v>11</v>
      </c>
      <c r="I128" t="str" cm="1">
        <f t="array" ref="I128">_xlfn.IFS(H128&gt;=13,"Best Customers",H128&gt;=10,"Loyal Customers",H128&gt;=7,"Potential Loyal Customers",H128&gt;=4,"Need Attention",TRUE,"At Risk")</f>
        <v>Loyal Customers</v>
      </c>
    </row>
    <row r="129" spans="1:9">
      <c r="A129" t="s">
        <v>122</v>
      </c>
      <c r="B129" s="4">
        <v>118.65699074073927</v>
      </c>
      <c r="C129">
        <v>4</v>
      </c>
      <c r="D129">
        <v>53.77</v>
      </c>
      <c r="E129" s="5" cm="1">
        <f t="array" ref="E129">_xlfn.IFS(B129&lt;=_xlfn.PERCENTILE.INC($B$2:$B$288,0.2),5,B129&lt;=_xlfn.PERCENTILE.INC($B$2:$B$288,0.4),4,B129&lt;=_xlfn.PERCENTILE.INC($B$2:$B$288,0.6),3,B129&lt;=_xlfn.PERCENTILE.INC($B$2:$B$288,0.8),2,B129&gt;_xlfn.PERCENTILE.INC($B$2:$B$288,0.8),1)</f>
        <v>3</v>
      </c>
      <c r="F129" cm="1">
        <f t="array" ref="F129">_xlfn.IFS(C129&gt;=_xlfn.PERCENTILE.INC($C$2:$C$288,0.8),5,C129&gt;=_xlfn.PERCENTILE.INC($C$2:$C$288,0.6),4,C129&gt;=_xlfn.PERCENTILE.INC($C$2:$C$288,0.4),3,C129&gt;=_xlfn.PERCENTILE.INC($C$2:$C$288,0.2),2,C129&lt;_xlfn.PERCENTILE.INC($C$2:$C$288,0.2),1)</f>
        <v>4</v>
      </c>
      <c r="G129" cm="1">
        <f t="array" ref="G129">_xlfn.IFS(D129&gt;=_xlfn.PERCENTILE.INC($D$2:$D$288,0.8),5,D129&gt;=_xlfn.PERCENTILE.INC($D$2:$D$288,0.6),4,D129&gt;=_xlfn.PERCENTILE.INC($D$2:$D$288,0.4),3,D129&gt;=_xlfn.PERCENTILE.INC($D$2:$D$288,0.2),2,D129&lt;_xlfn.PERCENTILE.INC($D$2:$D$288,0.2),1)</f>
        <v>3</v>
      </c>
      <c r="H129">
        <f t="shared" si="1"/>
        <v>10</v>
      </c>
      <c r="I129" t="str" cm="1">
        <f t="array" ref="I129">_xlfn.IFS(H129&gt;=13,"Best Customers",H129&gt;=10,"Loyal Customers",H129&gt;=7,"Potential Loyal Customers",H129&gt;=4,"Need Attention",TRUE,"At Risk")</f>
        <v>Loyal Customers</v>
      </c>
    </row>
    <row r="130" spans="1:9">
      <c r="A130" t="s">
        <v>167</v>
      </c>
      <c r="B130" s="4">
        <v>44.656990740739275</v>
      </c>
      <c r="C130">
        <v>3</v>
      </c>
      <c r="D130">
        <v>52.02</v>
      </c>
      <c r="E130" s="5" cm="1">
        <f t="array" ref="E130">_xlfn.IFS(B130&lt;=_xlfn.PERCENTILE.INC($B$2:$B$288,0.2),5,B130&lt;=_xlfn.PERCENTILE.INC($B$2:$B$288,0.4),4,B130&lt;=_xlfn.PERCENTILE.INC($B$2:$B$288,0.6),3,B130&lt;=_xlfn.PERCENTILE.INC($B$2:$B$288,0.8),2,B130&gt;_xlfn.PERCENTILE.INC($B$2:$B$288,0.8),1)</f>
        <v>4</v>
      </c>
      <c r="F130" cm="1">
        <f t="array" ref="F130">_xlfn.IFS(C130&gt;=_xlfn.PERCENTILE.INC($C$2:$C$288,0.8),5,C130&gt;=_xlfn.PERCENTILE.INC($C$2:$C$288,0.6),4,C130&gt;=_xlfn.PERCENTILE.INC($C$2:$C$288,0.4),3,C130&gt;=_xlfn.PERCENTILE.INC($C$2:$C$288,0.2),2,C130&lt;_xlfn.PERCENTILE.INC($C$2:$C$288,0.2),1)</f>
        <v>3</v>
      </c>
      <c r="G130" cm="1">
        <f t="array" ref="G130">_xlfn.IFS(D130&gt;=_xlfn.PERCENTILE.INC($D$2:$D$288,0.8),5,D130&gt;=_xlfn.PERCENTILE.INC($D$2:$D$288,0.6),4,D130&gt;=_xlfn.PERCENTILE.INC($D$2:$D$288,0.4),3,D130&gt;=_xlfn.PERCENTILE.INC($D$2:$D$288,0.2),2,D130&lt;_xlfn.PERCENTILE.INC($D$2:$D$288,0.2),1)</f>
        <v>3</v>
      </c>
      <c r="H130">
        <f t="shared" si="1"/>
        <v>10</v>
      </c>
      <c r="I130" t="str" cm="1">
        <f t="array" ref="I130">_xlfn.IFS(H130&gt;=13,"Best Customers",H130&gt;=10,"Loyal Customers",H130&gt;=7,"Potential Loyal Customers",H130&gt;=4,"Need Attention",TRUE,"At Risk")</f>
        <v>Loyal Customers</v>
      </c>
    </row>
    <row r="131" spans="1:9">
      <c r="A131" t="s">
        <v>49</v>
      </c>
      <c r="B131" s="4">
        <v>23.656990740739275</v>
      </c>
      <c r="C131">
        <v>4</v>
      </c>
      <c r="D131">
        <v>34.400000000000006</v>
      </c>
      <c r="E131" s="5" cm="1">
        <f t="array" ref="E131">_xlfn.IFS(B131&lt;=_xlfn.PERCENTILE.INC($B$2:$B$288,0.2),5,B131&lt;=_xlfn.PERCENTILE.INC($B$2:$B$288,0.4),4,B131&lt;=_xlfn.PERCENTILE.INC($B$2:$B$288,0.6),3,B131&lt;=_xlfn.PERCENTILE.INC($B$2:$B$288,0.8),2,B131&gt;_xlfn.PERCENTILE.INC($B$2:$B$288,0.8),1)</f>
        <v>5</v>
      </c>
      <c r="F131" cm="1">
        <f t="array" ref="F131">_xlfn.IFS(C131&gt;=_xlfn.PERCENTILE.INC($C$2:$C$288,0.8),5,C131&gt;=_xlfn.PERCENTILE.INC($C$2:$C$288,0.6),4,C131&gt;=_xlfn.PERCENTILE.INC($C$2:$C$288,0.4),3,C131&gt;=_xlfn.PERCENTILE.INC($C$2:$C$288,0.2),2,C131&lt;_xlfn.PERCENTILE.INC($C$2:$C$288,0.2),1)</f>
        <v>4</v>
      </c>
      <c r="G131" cm="1">
        <f t="array" ref="G131">_xlfn.IFS(D131&gt;=_xlfn.PERCENTILE.INC($D$2:$D$288,0.8),5,D131&gt;=_xlfn.PERCENTILE.INC($D$2:$D$288,0.6),4,D131&gt;=_xlfn.PERCENTILE.INC($D$2:$D$288,0.4),3,D131&gt;=_xlfn.PERCENTILE.INC($D$2:$D$288,0.2),2,D131&lt;_xlfn.PERCENTILE.INC($D$2:$D$288,0.2),1)</f>
        <v>2</v>
      </c>
      <c r="H131">
        <f t="shared" ref="H131:H194" si="2">E131+F131+G131</f>
        <v>11</v>
      </c>
      <c r="I131" t="str" cm="1">
        <f t="array" ref="I131">_xlfn.IFS(H131&gt;=13,"Best Customers",H131&gt;=10,"Loyal Customers",H131&gt;=7,"Potential Loyal Customers",H131&gt;=4,"Need Attention",TRUE,"At Risk")</f>
        <v>Loyal Customers</v>
      </c>
    </row>
    <row r="132" spans="1:9">
      <c r="A132" t="s">
        <v>20</v>
      </c>
      <c r="B132" s="4">
        <v>193.65699074073927</v>
      </c>
      <c r="C132">
        <v>1</v>
      </c>
      <c r="D132">
        <v>15.44</v>
      </c>
      <c r="E132" s="5" cm="1">
        <f t="array" ref="E132">_xlfn.IFS(B132&lt;=_xlfn.PERCENTILE.INC($B$2:$B$288,0.2),5,B132&lt;=_xlfn.PERCENTILE.INC($B$2:$B$288,0.4),4,B132&lt;=_xlfn.PERCENTILE.INC($B$2:$B$288,0.6),3,B132&lt;=_xlfn.PERCENTILE.INC($B$2:$B$288,0.8),2,B132&gt;_xlfn.PERCENTILE.INC($B$2:$B$288,0.8),1)</f>
        <v>1</v>
      </c>
      <c r="F132" cm="1">
        <f t="array" ref="F132">_xlfn.IFS(C132&gt;=_xlfn.PERCENTILE.INC($C$2:$C$288,0.8),5,C132&gt;=_xlfn.PERCENTILE.INC($C$2:$C$288,0.6),4,C132&gt;=_xlfn.PERCENTILE.INC($C$2:$C$288,0.4),3,C132&gt;=_xlfn.PERCENTILE.INC($C$2:$C$288,0.2),2,C132&lt;_xlfn.PERCENTILE.INC($C$2:$C$288,0.2),1)</f>
        <v>1</v>
      </c>
      <c r="G132" cm="1">
        <f t="array" ref="G132">_xlfn.IFS(D132&gt;=_xlfn.PERCENTILE.INC($D$2:$D$288,0.8),5,D132&gt;=_xlfn.PERCENTILE.INC($D$2:$D$288,0.6),4,D132&gt;=_xlfn.PERCENTILE.INC($D$2:$D$288,0.4),3,D132&gt;=_xlfn.PERCENTILE.INC($D$2:$D$288,0.2),2,D132&lt;_xlfn.PERCENTILE.INC($D$2:$D$288,0.2),1)</f>
        <v>1</v>
      </c>
      <c r="H132">
        <f t="shared" si="2"/>
        <v>3</v>
      </c>
      <c r="I132" t="str" cm="1">
        <f t="array" ref="I132">_xlfn.IFS(H132&gt;=13,"Best Customers",H132&gt;=10,"Loyal Customers",H132&gt;=7,"Potential Loyal Customers",H132&gt;=4,"Need Attention",TRUE,"At Risk")</f>
        <v>At Risk</v>
      </c>
    </row>
    <row r="133" spans="1:9">
      <c r="A133" t="s">
        <v>665</v>
      </c>
      <c r="B133" s="4">
        <v>224.65699074073927</v>
      </c>
      <c r="C133">
        <v>1</v>
      </c>
      <c r="D133">
        <v>27.37</v>
      </c>
      <c r="E133" s="5" cm="1">
        <f t="array" ref="E133">_xlfn.IFS(B133&lt;=_xlfn.PERCENTILE.INC($B$2:$B$288,0.2),5,B133&lt;=_xlfn.PERCENTILE.INC($B$2:$B$288,0.4),4,B133&lt;=_xlfn.PERCENTILE.INC($B$2:$B$288,0.6),3,B133&lt;=_xlfn.PERCENTILE.INC($B$2:$B$288,0.8),2,B133&gt;_xlfn.PERCENTILE.INC($B$2:$B$288,0.8),1)</f>
        <v>1</v>
      </c>
      <c r="F133" cm="1">
        <f t="array" ref="F133">_xlfn.IFS(C133&gt;=_xlfn.PERCENTILE.INC($C$2:$C$288,0.8),5,C133&gt;=_xlfn.PERCENTILE.INC($C$2:$C$288,0.6),4,C133&gt;=_xlfn.PERCENTILE.INC($C$2:$C$288,0.4),3,C133&gt;=_xlfn.PERCENTILE.INC($C$2:$C$288,0.2),2,C133&lt;_xlfn.PERCENTILE.INC($C$2:$C$288,0.2),1)</f>
        <v>1</v>
      </c>
      <c r="G133" cm="1">
        <f t="array" ref="G133">_xlfn.IFS(D133&gt;=_xlfn.PERCENTILE.INC($D$2:$D$288,0.8),5,D133&gt;=_xlfn.PERCENTILE.INC($D$2:$D$288,0.6),4,D133&gt;=_xlfn.PERCENTILE.INC($D$2:$D$288,0.4),3,D133&gt;=_xlfn.PERCENTILE.INC($D$2:$D$288,0.2),2,D133&lt;_xlfn.PERCENTILE.INC($D$2:$D$288,0.2),1)</f>
        <v>2</v>
      </c>
      <c r="H133">
        <f t="shared" si="2"/>
        <v>4</v>
      </c>
      <c r="I133" t="str" cm="1">
        <f t="array" ref="I133">_xlfn.IFS(H133&gt;=13,"Best Customers",H133&gt;=10,"Loyal Customers",H133&gt;=7,"Potential Loyal Customers",H133&gt;=4,"Need Attention",TRUE,"At Risk")</f>
        <v>Need Attention</v>
      </c>
    </row>
    <row r="134" spans="1:9">
      <c r="A134" t="s">
        <v>202</v>
      </c>
      <c r="B134" s="4">
        <v>51.656990740739275</v>
      </c>
      <c r="C134">
        <v>5</v>
      </c>
      <c r="D134">
        <v>35.08</v>
      </c>
      <c r="E134" s="5" cm="1">
        <f t="array" ref="E134">_xlfn.IFS(B134&lt;=_xlfn.PERCENTILE.INC($B$2:$B$288,0.2),5,B134&lt;=_xlfn.PERCENTILE.INC($B$2:$B$288,0.4),4,B134&lt;=_xlfn.PERCENTILE.INC($B$2:$B$288,0.6),3,B134&lt;=_xlfn.PERCENTILE.INC($B$2:$B$288,0.8),2,B134&gt;_xlfn.PERCENTILE.INC($B$2:$B$288,0.8),1)</f>
        <v>4</v>
      </c>
      <c r="F134" cm="1">
        <f t="array" ref="F134">_xlfn.IFS(C134&gt;=_xlfn.PERCENTILE.INC($C$2:$C$288,0.8),5,C134&gt;=_xlfn.PERCENTILE.INC($C$2:$C$288,0.6),4,C134&gt;=_xlfn.PERCENTILE.INC($C$2:$C$288,0.4),3,C134&gt;=_xlfn.PERCENTILE.INC($C$2:$C$288,0.2),2,C134&lt;_xlfn.PERCENTILE.INC($C$2:$C$288,0.2),1)</f>
        <v>5</v>
      </c>
      <c r="G134" cm="1">
        <f t="array" ref="G134">_xlfn.IFS(D134&gt;=_xlfn.PERCENTILE.INC($D$2:$D$288,0.8),5,D134&gt;=_xlfn.PERCENTILE.INC($D$2:$D$288,0.6),4,D134&gt;=_xlfn.PERCENTILE.INC($D$2:$D$288,0.4),3,D134&gt;=_xlfn.PERCENTILE.INC($D$2:$D$288,0.2),2,D134&lt;_xlfn.PERCENTILE.INC($D$2:$D$288,0.2),1)</f>
        <v>2</v>
      </c>
      <c r="H134">
        <f t="shared" si="2"/>
        <v>11</v>
      </c>
      <c r="I134" t="str" cm="1">
        <f t="array" ref="I134">_xlfn.IFS(H134&gt;=13,"Best Customers",H134&gt;=10,"Loyal Customers",H134&gt;=7,"Potential Loyal Customers",H134&gt;=4,"Need Attention",TRUE,"At Risk")</f>
        <v>Loyal Customers</v>
      </c>
    </row>
    <row r="135" spans="1:9">
      <c r="A135" t="s">
        <v>657</v>
      </c>
      <c r="B135" s="4">
        <v>27.656990740739275</v>
      </c>
      <c r="C135">
        <v>2</v>
      </c>
      <c r="D135">
        <v>40.78</v>
      </c>
      <c r="E135" s="5" cm="1">
        <f t="array" ref="E135">_xlfn.IFS(B135&lt;=_xlfn.PERCENTILE.INC($B$2:$B$288,0.2),5,B135&lt;=_xlfn.PERCENTILE.INC($B$2:$B$288,0.4),4,B135&lt;=_xlfn.PERCENTILE.INC($B$2:$B$288,0.6),3,B135&lt;=_xlfn.PERCENTILE.INC($B$2:$B$288,0.8),2,B135&gt;_xlfn.PERCENTILE.INC($B$2:$B$288,0.8),1)</f>
        <v>5</v>
      </c>
      <c r="F135" cm="1">
        <f t="array" ref="F135">_xlfn.IFS(C135&gt;=_xlfn.PERCENTILE.INC($C$2:$C$288,0.8),5,C135&gt;=_xlfn.PERCENTILE.INC($C$2:$C$288,0.6),4,C135&gt;=_xlfn.PERCENTILE.INC($C$2:$C$288,0.4),3,C135&gt;=_xlfn.PERCENTILE.INC($C$2:$C$288,0.2),2,C135&lt;_xlfn.PERCENTILE.INC($C$2:$C$288,0.2),1)</f>
        <v>2</v>
      </c>
      <c r="G135" cm="1">
        <f t="array" ref="G135">_xlfn.IFS(D135&gt;=_xlfn.PERCENTILE.INC($D$2:$D$288,0.8),5,D135&gt;=_xlfn.PERCENTILE.INC($D$2:$D$288,0.6),4,D135&gt;=_xlfn.PERCENTILE.INC($D$2:$D$288,0.4),3,D135&gt;=_xlfn.PERCENTILE.INC($D$2:$D$288,0.2),2,D135&lt;_xlfn.PERCENTILE.INC($D$2:$D$288,0.2),1)</f>
        <v>2</v>
      </c>
      <c r="H135">
        <f t="shared" si="2"/>
        <v>9</v>
      </c>
      <c r="I135" t="str" cm="1">
        <f t="array" ref="I135">_xlfn.IFS(H135&gt;=13,"Best Customers",H135&gt;=10,"Loyal Customers",H135&gt;=7,"Potential Loyal Customers",H135&gt;=4,"Need Attention",TRUE,"At Risk")</f>
        <v>Potential Loyal Customers</v>
      </c>
    </row>
    <row r="136" spans="1:9">
      <c r="A136" t="s">
        <v>108</v>
      </c>
      <c r="B136" s="4">
        <v>66.656990740739275</v>
      </c>
      <c r="C136">
        <v>6</v>
      </c>
      <c r="D136">
        <v>170.41</v>
      </c>
      <c r="E136" s="5" cm="1">
        <f t="array" ref="E136">_xlfn.IFS(B136&lt;=_xlfn.PERCENTILE.INC($B$2:$B$288,0.2),5,B136&lt;=_xlfn.PERCENTILE.INC($B$2:$B$288,0.4),4,B136&lt;=_xlfn.PERCENTILE.INC($B$2:$B$288,0.6),3,B136&lt;=_xlfn.PERCENTILE.INC($B$2:$B$288,0.8),2,B136&gt;_xlfn.PERCENTILE.INC($B$2:$B$288,0.8),1)</f>
        <v>4</v>
      </c>
      <c r="F136" cm="1">
        <f t="array" ref="F136">_xlfn.IFS(C136&gt;=_xlfn.PERCENTILE.INC($C$2:$C$288,0.8),5,C136&gt;=_xlfn.PERCENTILE.INC($C$2:$C$288,0.6),4,C136&gt;=_xlfn.PERCENTILE.INC($C$2:$C$288,0.4),3,C136&gt;=_xlfn.PERCENTILE.INC($C$2:$C$288,0.2),2,C136&lt;_xlfn.PERCENTILE.INC($C$2:$C$288,0.2),1)</f>
        <v>5</v>
      </c>
      <c r="G136" cm="1">
        <f t="array" ref="G136">_xlfn.IFS(D136&gt;=_xlfn.PERCENTILE.INC($D$2:$D$288,0.8),5,D136&gt;=_xlfn.PERCENTILE.INC($D$2:$D$288,0.6),4,D136&gt;=_xlfn.PERCENTILE.INC($D$2:$D$288,0.4),3,D136&gt;=_xlfn.PERCENTILE.INC($D$2:$D$288,0.2),2,D136&lt;_xlfn.PERCENTILE.INC($D$2:$D$288,0.2),1)</f>
        <v>5</v>
      </c>
      <c r="H136">
        <f t="shared" si="2"/>
        <v>14</v>
      </c>
      <c r="I136" t="str" cm="1">
        <f t="array" ref="I136">_xlfn.IFS(H136&gt;=13,"Best Customers",H136&gt;=10,"Loyal Customers",H136&gt;=7,"Potential Loyal Customers",H136&gt;=4,"Need Attention",TRUE,"At Risk")</f>
        <v>Best Customers</v>
      </c>
    </row>
    <row r="137" spans="1:9">
      <c r="A137" t="s">
        <v>313</v>
      </c>
      <c r="B137" s="4">
        <v>100.65699074073927</v>
      </c>
      <c r="C137">
        <v>2</v>
      </c>
      <c r="D137">
        <v>16.04</v>
      </c>
      <c r="E137" s="5" cm="1">
        <f t="array" ref="E137">_xlfn.IFS(B137&lt;=_xlfn.PERCENTILE.INC($B$2:$B$288,0.2),5,B137&lt;=_xlfn.PERCENTILE.INC($B$2:$B$288,0.4),4,B137&lt;=_xlfn.PERCENTILE.INC($B$2:$B$288,0.6),3,B137&lt;=_xlfn.PERCENTILE.INC($B$2:$B$288,0.8),2,B137&gt;_xlfn.PERCENTILE.INC($B$2:$B$288,0.8),1)</f>
        <v>3</v>
      </c>
      <c r="F137" cm="1">
        <f t="array" ref="F137">_xlfn.IFS(C137&gt;=_xlfn.PERCENTILE.INC($C$2:$C$288,0.8),5,C137&gt;=_xlfn.PERCENTILE.INC($C$2:$C$288,0.6),4,C137&gt;=_xlfn.PERCENTILE.INC($C$2:$C$288,0.4),3,C137&gt;=_xlfn.PERCENTILE.INC($C$2:$C$288,0.2),2,C137&lt;_xlfn.PERCENTILE.INC($C$2:$C$288,0.2),1)</f>
        <v>2</v>
      </c>
      <c r="G137" cm="1">
        <f t="array" ref="G137">_xlfn.IFS(D137&gt;=_xlfn.PERCENTILE.INC($D$2:$D$288,0.8),5,D137&gt;=_xlfn.PERCENTILE.INC($D$2:$D$288,0.6),4,D137&gt;=_xlfn.PERCENTILE.INC($D$2:$D$288,0.4),3,D137&gt;=_xlfn.PERCENTILE.INC($D$2:$D$288,0.2),2,D137&lt;_xlfn.PERCENTILE.INC($D$2:$D$288,0.2),1)</f>
        <v>1</v>
      </c>
      <c r="H137">
        <f t="shared" si="2"/>
        <v>6</v>
      </c>
      <c r="I137" t="str" cm="1">
        <f t="array" ref="I137">_xlfn.IFS(H137&gt;=13,"Best Customers",H137&gt;=10,"Loyal Customers",H137&gt;=7,"Potential Loyal Customers",H137&gt;=4,"Need Attention",TRUE,"At Risk")</f>
        <v>Need Attention</v>
      </c>
    </row>
    <row r="138" spans="1:9">
      <c r="A138" t="s">
        <v>112</v>
      </c>
      <c r="B138" s="4">
        <v>140.65699074073927</v>
      </c>
      <c r="C138">
        <v>5</v>
      </c>
      <c r="D138">
        <v>85.98</v>
      </c>
      <c r="E138" s="5" cm="1">
        <f t="array" ref="E138">_xlfn.IFS(B138&lt;=_xlfn.PERCENTILE.INC($B$2:$B$288,0.2),5,B138&lt;=_xlfn.PERCENTILE.INC($B$2:$B$288,0.4),4,B138&lt;=_xlfn.PERCENTILE.INC($B$2:$B$288,0.6),3,B138&lt;=_xlfn.PERCENTILE.INC($B$2:$B$288,0.8),2,B138&gt;_xlfn.PERCENTILE.INC($B$2:$B$288,0.8),1)</f>
        <v>2</v>
      </c>
      <c r="F138" cm="1">
        <f t="array" ref="F138">_xlfn.IFS(C138&gt;=_xlfn.PERCENTILE.INC($C$2:$C$288,0.8),5,C138&gt;=_xlfn.PERCENTILE.INC($C$2:$C$288,0.6),4,C138&gt;=_xlfn.PERCENTILE.INC($C$2:$C$288,0.4),3,C138&gt;=_xlfn.PERCENTILE.INC($C$2:$C$288,0.2),2,C138&lt;_xlfn.PERCENTILE.INC($C$2:$C$288,0.2),1)</f>
        <v>5</v>
      </c>
      <c r="G138" cm="1">
        <f t="array" ref="G138">_xlfn.IFS(D138&gt;=_xlfn.PERCENTILE.INC($D$2:$D$288,0.8),5,D138&gt;=_xlfn.PERCENTILE.INC($D$2:$D$288,0.6),4,D138&gt;=_xlfn.PERCENTILE.INC($D$2:$D$288,0.4),3,D138&gt;=_xlfn.PERCENTILE.INC($D$2:$D$288,0.2),2,D138&lt;_xlfn.PERCENTILE.INC($D$2:$D$288,0.2),1)</f>
        <v>4</v>
      </c>
      <c r="H138">
        <f t="shared" si="2"/>
        <v>11</v>
      </c>
      <c r="I138" t="str" cm="1">
        <f t="array" ref="I138">_xlfn.IFS(H138&gt;=13,"Best Customers",H138&gt;=10,"Loyal Customers",H138&gt;=7,"Potential Loyal Customers",H138&gt;=4,"Need Attention",TRUE,"At Risk")</f>
        <v>Loyal Customers</v>
      </c>
    </row>
    <row r="139" spans="1:9">
      <c r="A139" t="s">
        <v>465</v>
      </c>
      <c r="B139" s="4">
        <v>67.656990740739275</v>
      </c>
      <c r="C139">
        <v>4</v>
      </c>
      <c r="D139">
        <v>64.989999999999995</v>
      </c>
      <c r="E139" s="5" cm="1">
        <f t="array" ref="E139">_xlfn.IFS(B139&lt;=_xlfn.PERCENTILE.INC($B$2:$B$288,0.2),5,B139&lt;=_xlfn.PERCENTILE.INC($B$2:$B$288,0.4),4,B139&lt;=_xlfn.PERCENTILE.INC($B$2:$B$288,0.6),3,B139&lt;=_xlfn.PERCENTILE.INC($B$2:$B$288,0.8),2,B139&gt;_xlfn.PERCENTILE.INC($B$2:$B$288,0.8),1)</f>
        <v>4</v>
      </c>
      <c r="F139" cm="1">
        <f t="array" ref="F139">_xlfn.IFS(C139&gt;=_xlfn.PERCENTILE.INC($C$2:$C$288,0.8),5,C139&gt;=_xlfn.PERCENTILE.INC($C$2:$C$288,0.6),4,C139&gt;=_xlfn.PERCENTILE.INC($C$2:$C$288,0.4),3,C139&gt;=_xlfn.PERCENTILE.INC($C$2:$C$288,0.2),2,C139&lt;_xlfn.PERCENTILE.INC($C$2:$C$288,0.2),1)</f>
        <v>4</v>
      </c>
      <c r="G139" cm="1">
        <f t="array" ref="G139">_xlfn.IFS(D139&gt;=_xlfn.PERCENTILE.INC($D$2:$D$288,0.8),5,D139&gt;=_xlfn.PERCENTILE.INC($D$2:$D$288,0.6),4,D139&gt;=_xlfn.PERCENTILE.INC($D$2:$D$288,0.4),3,D139&gt;=_xlfn.PERCENTILE.INC($D$2:$D$288,0.2),2,D139&lt;_xlfn.PERCENTILE.INC($D$2:$D$288,0.2),1)</f>
        <v>4</v>
      </c>
      <c r="H139">
        <f t="shared" si="2"/>
        <v>12</v>
      </c>
      <c r="I139" t="str" cm="1">
        <f t="array" ref="I139">_xlfn.IFS(H139&gt;=13,"Best Customers",H139&gt;=10,"Loyal Customers",H139&gt;=7,"Potential Loyal Customers",H139&gt;=4,"Need Attention",TRUE,"At Risk")</f>
        <v>Loyal Customers</v>
      </c>
    </row>
    <row r="140" spans="1:9">
      <c r="A140" t="s">
        <v>389</v>
      </c>
      <c r="B140" s="4">
        <v>114.65699074073927</v>
      </c>
      <c r="C140">
        <v>5</v>
      </c>
      <c r="D140">
        <v>98.47999999999999</v>
      </c>
      <c r="E140" s="5" cm="1">
        <f t="array" ref="E140">_xlfn.IFS(B140&lt;=_xlfn.PERCENTILE.INC($B$2:$B$288,0.2),5,B140&lt;=_xlfn.PERCENTILE.INC($B$2:$B$288,0.4),4,B140&lt;=_xlfn.PERCENTILE.INC($B$2:$B$288,0.6),3,B140&lt;=_xlfn.PERCENTILE.INC($B$2:$B$288,0.8),2,B140&gt;_xlfn.PERCENTILE.INC($B$2:$B$288,0.8),1)</f>
        <v>3</v>
      </c>
      <c r="F140" cm="1">
        <f t="array" ref="F140">_xlfn.IFS(C140&gt;=_xlfn.PERCENTILE.INC($C$2:$C$288,0.8),5,C140&gt;=_xlfn.PERCENTILE.INC($C$2:$C$288,0.6),4,C140&gt;=_xlfn.PERCENTILE.INC($C$2:$C$288,0.4),3,C140&gt;=_xlfn.PERCENTILE.INC($C$2:$C$288,0.2),2,C140&lt;_xlfn.PERCENTILE.INC($C$2:$C$288,0.2),1)</f>
        <v>5</v>
      </c>
      <c r="G140" cm="1">
        <f t="array" ref="G140">_xlfn.IFS(D140&gt;=_xlfn.PERCENTILE.INC($D$2:$D$288,0.8),5,D140&gt;=_xlfn.PERCENTILE.INC($D$2:$D$288,0.6),4,D140&gt;=_xlfn.PERCENTILE.INC($D$2:$D$288,0.4),3,D140&gt;=_xlfn.PERCENTILE.INC($D$2:$D$288,0.2),2,D140&lt;_xlfn.PERCENTILE.INC($D$2:$D$288,0.2),1)</f>
        <v>5</v>
      </c>
      <c r="H140">
        <f t="shared" si="2"/>
        <v>13</v>
      </c>
      <c r="I140" t="str" cm="1">
        <f t="array" ref="I140">_xlfn.IFS(H140&gt;=13,"Best Customers",H140&gt;=10,"Loyal Customers",H140&gt;=7,"Potential Loyal Customers",H140&gt;=4,"Need Attention",TRUE,"At Risk")</f>
        <v>Best Customers</v>
      </c>
    </row>
    <row r="141" spans="1:9">
      <c r="A141" t="s">
        <v>190</v>
      </c>
      <c r="B141" s="4">
        <v>38.656990740739275</v>
      </c>
      <c r="C141">
        <v>5</v>
      </c>
      <c r="D141">
        <v>90.62</v>
      </c>
      <c r="E141" s="5" cm="1">
        <f t="array" ref="E141">_xlfn.IFS(B141&lt;=_xlfn.PERCENTILE.INC($B$2:$B$288,0.2),5,B141&lt;=_xlfn.PERCENTILE.INC($B$2:$B$288,0.4),4,B141&lt;=_xlfn.PERCENTILE.INC($B$2:$B$288,0.6),3,B141&lt;=_xlfn.PERCENTILE.INC($B$2:$B$288,0.8),2,B141&gt;_xlfn.PERCENTILE.INC($B$2:$B$288,0.8),1)</f>
        <v>5</v>
      </c>
      <c r="F141" cm="1">
        <f t="array" ref="F141">_xlfn.IFS(C141&gt;=_xlfn.PERCENTILE.INC($C$2:$C$288,0.8),5,C141&gt;=_xlfn.PERCENTILE.INC($C$2:$C$288,0.6),4,C141&gt;=_xlfn.PERCENTILE.INC($C$2:$C$288,0.4),3,C141&gt;=_xlfn.PERCENTILE.INC($C$2:$C$288,0.2),2,C141&lt;_xlfn.PERCENTILE.INC($C$2:$C$288,0.2),1)</f>
        <v>5</v>
      </c>
      <c r="G141" cm="1">
        <f t="array" ref="G141">_xlfn.IFS(D141&gt;=_xlfn.PERCENTILE.INC($D$2:$D$288,0.8),5,D141&gt;=_xlfn.PERCENTILE.INC($D$2:$D$288,0.6),4,D141&gt;=_xlfn.PERCENTILE.INC($D$2:$D$288,0.4),3,D141&gt;=_xlfn.PERCENTILE.INC($D$2:$D$288,0.2),2,D141&lt;_xlfn.PERCENTILE.INC($D$2:$D$288,0.2),1)</f>
        <v>5</v>
      </c>
      <c r="H141">
        <f t="shared" si="2"/>
        <v>15</v>
      </c>
      <c r="I141" t="str" cm="1">
        <f t="array" ref="I141">_xlfn.IFS(H141&gt;=13,"Best Customers",H141&gt;=10,"Loyal Customers",H141&gt;=7,"Potential Loyal Customers",H141&gt;=4,"Need Attention",TRUE,"At Risk")</f>
        <v>Best Customers</v>
      </c>
    </row>
    <row r="142" spans="1:9">
      <c r="A142" t="s">
        <v>243</v>
      </c>
      <c r="B142" s="4">
        <v>62.656990740739275</v>
      </c>
      <c r="C142">
        <v>4</v>
      </c>
      <c r="D142">
        <v>61.65</v>
      </c>
      <c r="E142" s="5" cm="1">
        <f t="array" ref="E142">_xlfn.IFS(B142&lt;=_xlfn.PERCENTILE.INC($B$2:$B$288,0.2),5,B142&lt;=_xlfn.PERCENTILE.INC($B$2:$B$288,0.4),4,B142&lt;=_xlfn.PERCENTILE.INC($B$2:$B$288,0.6),3,B142&lt;=_xlfn.PERCENTILE.INC($B$2:$B$288,0.8),2,B142&gt;_xlfn.PERCENTILE.INC($B$2:$B$288,0.8),1)</f>
        <v>4</v>
      </c>
      <c r="F142" cm="1">
        <f t="array" ref="F142">_xlfn.IFS(C142&gt;=_xlfn.PERCENTILE.INC($C$2:$C$288,0.8),5,C142&gt;=_xlfn.PERCENTILE.INC($C$2:$C$288,0.6),4,C142&gt;=_xlfn.PERCENTILE.INC($C$2:$C$288,0.4),3,C142&gt;=_xlfn.PERCENTILE.INC($C$2:$C$288,0.2),2,C142&lt;_xlfn.PERCENTILE.INC($C$2:$C$288,0.2),1)</f>
        <v>4</v>
      </c>
      <c r="G142" cm="1">
        <f t="array" ref="G142">_xlfn.IFS(D142&gt;=_xlfn.PERCENTILE.INC($D$2:$D$288,0.8),5,D142&gt;=_xlfn.PERCENTILE.INC($D$2:$D$288,0.6),4,D142&gt;=_xlfn.PERCENTILE.INC($D$2:$D$288,0.4),3,D142&gt;=_xlfn.PERCENTILE.INC($D$2:$D$288,0.2),2,D142&lt;_xlfn.PERCENTILE.INC($D$2:$D$288,0.2),1)</f>
        <v>4</v>
      </c>
      <c r="H142">
        <f t="shared" si="2"/>
        <v>12</v>
      </c>
      <c r="I142" t="str" cm="1">
        <f t="array" ref="I142">_xlfn.IFS(H142&gt;=13,"Best Customers",H142&gt;=10,"Loyal Customers",H142&gt;=7,"Potential Loyal Customers",H142&gt;=4,"Need Attention",TRUE,"At Risk")</f>
        <v>Loyal Customers</v>
      </c>
    </row>
    <row r="143" spans="1:9">
      <c r="A143" t="s">
        <v>284</v>
      </c>
      <c r="B143" s="4">
        <v>263.65699074073927</v>
      </c>
      <c r="C143">
        <v>3</v>
      </c>
      <c r="D143">
        <v>90.490000000000009</v>
      </c>
      <c r="E143" s="5" cm="1">
        <f t="array" ref="E143">_xlfn.IFS(B143&lt;=_xlfn.PERCENTILE.INC($B$2:$B$288,0.2),5,B143&lt;=_xlfn.PERCENTILE.INC($B$2:$B$288,0.4),4,B143&lt;=_xlfn.PERCENTILE.INC($B$2:$B$288,0.6),3,B143&lt;=_xlfn.PERCENTILE.INC($B$2:$B$288,0.8),2,B143&gt;_xlfn.PERCENTILE.INC($B$2:$B$288,0.8),1)</f>
        <v>1</v>
      </c>
      <c r="F143" cm="1">
        <f t="array" ref="F143">_xlfn.IFS(C143&gt;=_xlfn.PERCENTILE.INC($C$2:$C$288,0.8),5,C143&gt;=_xlfn.PERCENTILE.INC($C$2:$C$288,0.6),4,C143&gt;=_xlfn.PERCENTILE.INC($C$2:$C$288,0.4),3,C143&gt;=_xlfn.PERCENTILE.INC($C$2:$C$288,0.2),2,C143&lt;_xlfn.PERCENTILE.INC($C$2:$C$288,0.2),1)</f>
        <v>3</v>
      </c>
      <c r="G143" cm="1">
        <f t="array" ref="G143">_xlfn.IFS(D143&gt;=_xlfn.PERCENTILE.INC($D$2:$D$288,0.8),5,D143&gt;=_xlfn.PERCENTILE.INC($D$2:$D$288,0.6),4,D143&gt;=_xlfn.PERCENTILE.INC($D$2:$D$288,0.4),3,D143&gt;=_xlfn.PERCENTILE.INC($D$2:$D$288,0.2),2,D143&lt;_xlfn.PERCENTILE.INC($D$2:$D$288,0.2),1)</f>
        <v>5</v>
      </c>
      <c r="H143">
        <f t="shared" si="2"/>
        <v>9</v>
      </c>
      <c r="I143" t="str" cm="1">
        <f t="array" ref="I143">_xlfn.IFS(H143&gt;=13,"Best Customers",H143&gt;=10,"Loyal Customers",H143&gt;=7,"Potential Loyal Customers",H143&gt;=4,"Need Attention",TRUE,"At Risk")</f>
        <v>Potential Loyal Customers</v>
      </c>
    </row>
    <row r="144" spans="1:9">
      <c r="A144" t="s">
        <v>385</v>
      </c>
      <c r="B144" s="4">
        <v>179.65699074073927</v>
      </c>
      <c r="C144">
        <v>2</v>
      </c>
      <c r="D144">
        <v>21.74</v>
      </c>
      <c r="E144" s="5" cm="1">
        <f t="array" ref="E144">_xlfn.IFS(B144&lt;=_xlfn.PERCENTILE.INC($B$2:$B$288,0.2),5,B144&lt;=_xlfn.PERCENTILE.INC($B$2:$B$288,0.4),4,B144&lt;=_xlfn.PERCENTILE.INC($B$2:$B$288,0.6),3,B144&lt;=_xlfn.PERCENTILE.INC($B$2:$B$288,0.8),2,B144&gt;_xlfn.PERCENTILE.INC($B$2:$B$288,0.8),1)</f>
        <v>2</v>
      </c>
      <c r="F144" cm="1">
        <f t="array" ref="F144">_xlfn.IFS(C144&gt;=_xlfn.PERCENTILE.INC($C$2:$C$288,0.8),5,C144&gt;=_xlfn.PERCENTILE.INC($C$2:$C$288,0.6),4,C144&gt;=_xlfn.PERCENTILE.INC($C$2:$C$288,0.4),3,C144&gt;=_xlfn.PERCENTILE.INC($C$2:$C$288,0.2),2,C144&lt;_xlfn.PERCENTILE.INC($C$2:$C$288,0.2),1)</f>
        <v>2</v>
      </c>
      <c r="G144" cm="1">
        <f t="array" ref="G144">_xlfn.IFS(D144&gt;=_xlfn.PERCENTILE.INC($D$2:$D$288,0.8),5,D144&gt;=_xlfn.PERCENTILE.INC($D$2:$D$288,0.6),4,D144&gt;=_xlfn.PERCENTILE.INC($D$2:$D$288,0.4),3,D144&gt;=_xlfn.PERCENTILE.INC($D$2:$D$288,0.2),2,D144&lt;_xlfn.PERCENTILE.INC($D$2:$D$288,0.2),1)</f>
        <v>1</v>
      </c>
      <c r="H144">
        <f t="shared" si="2"/>
        <v>5</v>
      </c>
      <c r="I144" t="str" cm="1">
        <f t="array" ref="I144">_xlfn.IFS(H144&gt;=13,"Best Customers",H144&gt;=10,"Loyal Customers",H144&gt;=7,"Potential Loyal Customers",H144&gt;=4,"Need Attention",TRUE,"At Risk")</f>
        <v>Need Attention</v>
      </c>
    </row>
    <row r="145" spans="1:9">
      <c r="A145" t="s">
        <v>272</v>
      </c>
      <c r="B145" s="4">
        <v>99.656990740739275</v>
      </c>
      <c r="C145">
        <v>6</v>
      </c>
      <c r="D145">
        <v>92.440000000000012</v>
      </c>
      <c r="E145" s="5" cm="1">
        <f t="array" ref="E145">_xlfn.IFS(B145&lt;=_xlfn.PERCENTILE.INC($B$2:$B$288,0.2),5,B145&lt;=_xlfn.PERCENTILE.INC($B$2:$B$288,0.4),4,B145&lt;=_xlfn.PERCENTILE.INC($B$2:$B$288,0.6),3,B145&lt;=_xlfn.PERCENTILE.INC($B$2:$B$288,0.8),2,B145&gt;_xlfn.PERCENTILE.INC($B$2:$B$288,0.8),1)</f>
        <v>3</v>
      </c>
      <c r="F145" cm="1">
        <f t="array" ref="F145">_xlfn.IFS(C145&gt;=_xlfn.PERCENTILE.INC($C$2:$C$288,0.8),5,C145&gt;=_xlfn.PERCENTILE.INC($C$2:$C$288,0.6),4,C145&gt;=_xlfn.PERCENTILE.INC($C$2:$C$288,0.4),3,C145&gt;=_xlfn.PERCENTILE.INC($C$2:$C$288,0.2),2,C145&lt;_xlfn.PERCENTILE.INC($C$2:$C$288,0.2),1)</f>
        <v>5</v>
      </c>
      <c r="G145" cm="1">
        <f t="array" ref="G145">_xlfn.IFS(D145&gt;=_xlfn.PERCENTILE.INC($D$2:$D$288,0.8),5,D145&gt;=_xlfn.PERCENTILE.INC($D$2:$D$288,0.6),4,D145&gt;=_xlfn.PERCENTILE.INC($D$2:$D$288,0.4),3,D145&gt;=_xlfn.PERCENTILE.INC($D$2:$D$288,0.2),2,D145&lt;_xlfn.PERCENTILE.INC($D$2:$D$288,0.2),1)</f>
        <v>5</v>
      </c>
      <c r="H145">
        <f t="shared" si="2"/>
        <v>13</v>
      </c>
      <c r="I145" t="str" cm="1">
        <f t="array" ref="I145">_xlfn.IFS(H145&gt;=13,"Best Customers",H145&gt;=10,"Loyal Customers",H145&gt;=7,"Potential Loyal Customers",H145&gt;=4,"Need Attention",TRUE,"At Risk")</f>
        <v>Best Customers</v>
      </c>
    </row>
    <row r="146" spans="1:9">
      <c r="A146" t="s">
        <v>110</v>
      </c>
      <c r="B146" s="4">
        <v>107.65699074073927</v>
      </c>
      <c r="C146">
        <v>6</v>
      </c>
      <c r="D146">
        <v>92.68</v>
      </c>
      <c r="E146" s="5" cm="1">
        <f t="array" ref="E146">_xlfn.IFS(B146&lt;=_xlfn.PERCENTILE.INC($B$2:$B$288,0.2),5,B146&lt;=_xlfn.PERCENTILE.INC($B$2:$B$288,0.4),4,B146&lt;=_xlfn.PERCENTILE.INC($B$2:$B$288,0.6),3,B146&lt;=_xlfn.PERCENTILE.INC($B$2:$B$288,0.8),2,B146&gt;_xlfn.PERCENTILE.INC($B$2:$B$288,0.8),1)</f>
        <v>3</v>
      </c>
      <c r="F146" cm="1">
        <f t="array" ref="F146">_xlfn.IFS(C146&gt;=_xlfn.PERCENTILE.INC($C$2:$C$288,0.8),5,C146&gt;=_xlfn.PERCENTILE.INC($C$2:$C$288,0.6),4,C146&gt;=_xlfn.PERCENTILE.INC($C$2:$C$288,0.4),3,C146&gt;=_xlfn.PERCENTILE.INC($C$2:$C$288,0.2),2,C146&lt;_xlfn.PERCENTILE.INC($C$2:$C$288,0.2),1)</f>
        <v>5</v>
      </c>
      <c r="G146" cm="1">
        <f t="array" ref="G146">_xlfn.IFS(D146&gt;=_xlfn.PERCENTILE.INC($D$2:$D$288,0.8),5,D146&gt;=_xlfn.PERCENTILE.INC($D$2:$D$288,0.6),4,D146&gt;=_xlfn.PERCENTILE.INC($D$2:$D$288,0.4),3,D146&gt;=_xlfn.PERCENTILE.INC($D$2:$D$288,0.2),2,D146&lt;_xlfn.PERCENTILE.INC($D$2:$D$288,0.2),1)</f>
        <v>5</v>
      </c>
      <c r="H146">
        <f t="shared" si="2"/>
        <v>13</v>
      </c>
      <c r="I146" t="str" cm="1">
        <f t="array" ref="I146">_xlfn.IFS(H146&gt;=13,"Best Customers",H146&gt;=10,"Loyal Customers",H146&gt;=7,"Potential Loyal Customers",H146&gt;=4,"Need Attention",TRUE,"At Risk")</f>
        <v>Best Customers</v>
      </c>
    </row>
    <row r="147" spans="1:9">
      <c r="A147" t="s">
        <v>250</v>
      </c>
      <c r="B147" s="4">
        <v>77.656990740739275</v>
      </c>
      <c r="C147">
        <v>7</v>
      </c>
      <c r="D147">
        <v>88.160000000000011</v>
      </c>
      <c r="E147" s="5" cm="1">
        <f t="array" ref="E147">_xlfn.IFS(B147&lt;=_xlfn.PERCENTILE.INC($B$2:$B$288,0.2),5,B147&lt;=_xlfn.PERCENTILE.INC($B$2:$B$288,0.4),4,B147&lt;=_xlfn.PERCENTILE.INC($B$2:$B$288,0.6),3,B147&lt;=_xlfn.PERCENTILE.INC($B$2:$B$288,0.8),2,B147&gt;_xlfn.PERCENTILE.INC($B$2:$B$288,0.8),1)</f>
        <v>3</v>
      </c>
      <c r="F147" cm="1">
        <f t="array" ref="F147">_xlfn.IFS(C147&gt;=_xlfn.PERCENTILE.INC($C$2:$C$288,0.8),5,C147&gt;=_xlfn.PERCENTILE.INC($C$2:$C$288,0.6),4,C147&gt;=_xlfn.PERCENTILE.INC($C$2:$C$288,0.4),3,C147&gt;=_xlfn.PERCENTILE.INC($C$2:$C$288,0.2),2,C147&lt;_xlfn.PERCENTILE.INC($C$2:$C$288,0.2),1)</f>
        <v>5</v>
      </c>
      <c r="G147" cm="1">
        <f t="array" ref="G147">_xlfn.IFS(D147&gt;=_xlfn.PERCENTILE.INC($D$2:$D$288,0.8),5,D147&gt;=_xlfn.PERCENTILE.INC($D$2:$D$288,0.6),4,D147&gt;=_xlfn.PERCENTILE.INC($D$2:$D$288,0.4),3,D147&gt;=_xlfn.PERCENTILE.INC($D$2:$D$288,0.2),2,D147&lt;_xlfn.PERCENTILE.INC($D$2:$D$288,0.2),1)</f>
        <v>4</v>
      </c>
      <c r="H147">
        <f t="shared" si="2"/>
        <v>12</v>
      </c>
      <c r="I147" t="str" cm="1">
        <f t="array" ref="I147">_xlfn.IFS(H147&gt;=13,"Best Customers",H147&gt;=10,"Loyal Customers",H147&gt;=7,"Potential Loyal Customers",H147&gt;=4,"Need Attention",TRUE,"At Risk")</f>
        <v>Loyal Customers</v>
      </c>
    </row>
    <row r="148" spans="1:9">
      <c r="A148" t="s">
        <v>776</v>
      </c>
      <c r="B148" s="4">
        <v>129.65699074073927</v>
      </c>
      <c r="C148">
        <v>2</v>
      </c>
      <c r="D148">
        <v>33.090000000000003</v>
      </c>
      <c r="E148" s="5" cm="1">
        <f t="array" ref="E148">_xlfn.IFS(B148&lt;=_xlfn.PERCENTILE.INC($B$2:$B$288,0.2),5,B148&lt;=_xlfn.PERCENTILE.INC($B$2:$B$288,0.4),4,B148&lt;=_xlfn.PERCENTILE.INC($B$2:$B$288,0.6),3,B148&lt;=_xlfn.PERCENTILE.INC($B$2:$B$288,0.8),2,B148&gt;_xlfn.PERCENTILE.INC($B$2:$B$288,0.8),1)</f>
        <v>2</v>
      </c>
      <c r="F148" cm="1">
        <f t="array" ref="F148">_xlfn.IFS(C148&gt;=_xlfn.PERCENTILE.INC($C$2:$C$288,0.8),5,C148&gt;=_xlfn.PERCENTILE.INC($C$2:$C$288,0.6),4,C148&gt;=_xlfn.PERCENTILE.INC($C$2:$C$288,0.4),3,C148&gt;=_xlfn.PERCENTILE.INC($C$2:$C$288,0.2),2,C148&lt;_xlfn.PERCENTILE.INC($C$2:$C$288,0.2),1)</f>
        <v>2</v>
      </c>
      <c r="G148" cm="1">
        <f t="array" ref="G148">_xlfn.IFS(D148&gt;=_xlfn.PERCENTILE.INC($D$2:$D$288,0.8),5,D148&gt;=_xlfn.PERCENTILE.INC($D$2:$D$288,0.6),4,D148&gt;=_xlfn.PERCENTILE.INC($D$2:$D$288,0.4),3,D148&gt;=_xlfn.PERCENTILE.INC($D$2:$D$288,0.2),2,D148&lt;_xlfn.PERCENTILE.INC($D$2:$D$288,0.2),1)</f>
        <v>2</v>
      </c>
      <c r="H148">
        <f t="shared" si="2"/>
        <v>6</v>
      </c>
      <c r="I148" t="str" cm="1">
        <f t="array" ref="I148">_xlfn.IFS(H148&gt;=13,"Best Customers",H148&gt;=10,"Loyal Customers",H148&gt;=7,"Potential Loyal Customers",H148&gt;=4,"Need Attention",TRUE,"At Risk")</f>
        <v>Need Attention</v>
      </c>
    </row>
    <row r="149" spans="1:9">
      <c r="A149" t="s">
        <v>287</v>
      </c>
      <c r="B149" s="4">
        <v>281.65699074073927</v>
      </c>
      <c r="C149">
        <v>3</v>
      </c>
      <c r="D149">
        <v>72.319999999999993</v>
      </c>
      <c r="E149" s="5" cm="1">
        <f t="array" ref="E149">_xlfn.IFS(B149&lt;=_xlfn.PERCENTILE.INC($B$2:$B$288,0.2),5,B149&lt;=_xlfn.PERCENTILE.INC($B$2:$B$288,0.4),4,B149&lt;=_xlfn.PERCENTILE.INC($B$2:$B$288,0.6),3,B149&lt;=_xlfn.PERCENTILE.INC($B$2:$B$288,0.8),2,B149&gt;_xlfn.PERCENTILE.INC($B$2:$B$288,0.8),1)</f>
        <v>1</v>
      </c>
      <c r="F149" cm="1">
        <f t="array" ref="F149">_xlfn.IFS(C149&gt;=_xlfn.PERCENTILE.INC($C$2:$C$288,0.8),5,C149&gt;=_xlfn.PERCENTILE.INC($C$2:$C$288,0.6),4,C149&gt;=_xlfn.PERCENTILE.INC($C$2:$C$288,0.4),3,C149&gt;=_xlfn.PERCENTILE.INC($C$2:$C$288,0.2),2,C149&lt;_xlfn.PERCENTILE.INC($C$2:$C$288,0.2),1)</f>
        <v>3</v>
      </c>
      <c r="G149" cm="1">
        <f t="array" ref="G149">_xlfn.IFS(D149&gt;=_xlfn.PERCENTILE.INC($D$2:$D$288,0.8),5,D149&gt;=_xlfn.PERCENTILE.INC($D$2:$D$288,0.6),4,D149&gt;=_xlfn.PERCENTILE.INC($D$2:$D$288,0.4),3,D149&gt;=_xlfn.PERCENTILE.INC($D$2:$D$288,0.2),2,D149&lt;_xlfn.PERCENTILE.INC($D$2:$D$288,0.2),1)</f>
        <v>4</v>
      </c>
      <c r="H149">
        <f t="shared" si="2"/>
        <v>8</v>
      </c>
      <c r="I149" t="str" cm="1">
        <f t="array" ref="I149">_xlfn.IFS(H149&gt;=13,"Best Customers",H149&gt;=10,"Loyal Customers",H149&gt;=7,"Potential Loyal Customers",H149&gt;=4,"Need Attention",TRUE,"At Risk")</f>
        <v>Potential Loyal Customers</v>
      </c>
    </row>
    <row r="150" spans="1:9">
      <c r="A150" t="s">
        <v>132</v>
      </c>
      <c r="B150" s="4">
        <v>65.656990740739275</v>
      </c>
      <c r="C150">
        <v>7</v>
      </c>
      <c r="D150">
        <v>132.82999999999998</v>
      </c>
      <c r="E150" s="5" cm="1">
        <f t="array" ref="E150">_xlfn.IFS(B150&lt;=_xlfn.PERCENTILE.INC($B$2:$B$288,0.2),5,B150&lt;=_xlfn.PERCENTILE.INC($B$2:$B$288,0.4),4,B150&lt;=_xlfn.PERCENTILE.INC($B$2:$B$288,0.6),3,B150&lt;=_xlfn.PERCENTILE.INC($B$2:$B$288,0.8),2,B150&gt;_xlfn.PERCENTILE.INC($B$2:$B$288,0.8),1)</f>
        <v>4</v>
      </c>
      <c r="F150" cm="1">
        <f t="array" ref="F150">_xlfn.IFS(C150&gt;=_xlfn.PERCENTILE.INC($C$2:$C$288,0.8),5,C150&gt;=_xlfn.PERCENTILE.INC($C$2:$C$288,0.6),4,C150&gt;=_xlfn.PERCENTILE.INC($C$2:$C$288,0.4),3,C150&gt;=_xlfn.PERCENTILE.INC($C$2:$C$288,0.2),2,C150&lt;_xlfn.PERCENTILE.INC($C$2:$C$288,0.2),1)</f>
        <v>5</v>
      </c>
      <c r="G150" cm="1">
        <f t="array" ref="G150">_xlfn.IFS(D150&gt;=_xlfn.PERCENTILE.INC($D$2:$D$288,0.8),5,D150&gt;=_xlfn.PERCENTILE.INC($D$2:$D$288,0.6),4,D150&gt;=_xlfn.PERCENTILE.INC($D$2:$D$288,0.4),3,D150&gt;=_xlfn.PERCENTILE.INC($D$2:$D$288,0.2),2,D150&lt;_xlfn.PERCENTILE.INC($D$2:$D$288,0.2),1)</f>
        <v>5</v>
      </c>
      <c r="H150">
        <f t="shared" si="2"/>
        <v>14</v>
      </c>
      <c r="I150" t="str" cm="1">
        <f t="array" ref="I150">_xlfn.IFS(H150&gt;=13,"Best Customers",H150&gt;=10,"Loyal Customers",H150&gt;=7,"Potential Loyal Customers",H150&gt;=4,"Need Attention",TRUE,"At Risk")</f>
        <v>Best Customers</v>
      </c>
    </row>
    <row r="151" spans="1:9">
      <c r="A151" t="s">
        <v>309</v>
      </c>
      <c r="B151" s="4">
        <v>71.656990740739275</v>
      </c>
      <c r="C151">
        <v>5</v>
      </c>
      <c r="D151">
        <v>77.510000000000005</v>
      </c>
      <c r="E151" s="5" cm="1">
        <f t="array" ref="E151">_xlfn.IFS(B151&lt;=_xlfn.PERCENTILE.INC($B$2:$B$288,0.2),5,B151&lt;=_xlfn.PERCENTILE.INC($B$2:$B$288,0.4),4,B151&lt;=_xlfn.PERCENTILE.INC($B$2:$B$288,0.6),3,B151&lt;=_xlfn.PERCENTILE.INC($B$2:$B$288,0.8),2,B151&gt;_xlfn.PERCENTILE.INC($B$2:$B$288,0.8),1)</f>
        <v>4</v>
      </c>
      <c r="F151" cm="1">
        <f t="array" ref="F151">_xlfn.IFS(C151&gt;=_xlfn.PERCENTILE.INC($C$2:$C$288,0.8),5,C151&gt;=_xlfn.PERCENTILE.INC($C$2:$C$288,0.6),4,C151&gt;=_xlfn.PERCENTILE.INC($C$2:$C$288,0.4),3,C151&gt;=_xlfn.PERCENTILE.INC($C$2:$C$288,0.2),2,C151&lt;_xlfn.PERCENTILE.INC($C$2:$C$288,0.2),1)</f>
        <v>5</v>
      </c>
      <c r="G151" cm="1">
        <f t="array" ref="G151">_xlfn.IFS(D151&gt;=_xlfn.PERCENTILE.INC($D$2:$D$288,0.8),5,D151&gt;=_xlfn.PERCENTILE.INC($D$2:$D$288,0.6),4,D151&gt;=_xlfn.PERCENTILE.INC($D$2:$D$288,0.4),3,D151&gt;=_xlfn.PERCENTILE.INC($D$2:$D$288,0.2),2,D151&lt;_xlfn.PERCENTILE.INC($D$2:$D$288,0.2),1)</f>
        <v>4</v>
      </c>
      <c r="H151">
        <f t="shared" si="2"/>
        <v>13</v>
      </c>
      <c r="I151" t="str" cm="1">
        <f t="array" ref="I151">_xlfn.IFS(H151&gt;=13,"Best Customers",H151&gt;=10,"Loyal Customers",H151&gt;=7,"Potential Loyal Customers",H151&gt;=4,"Need Attention",TRUE,"At Risk")</f>
        <v>Best Customers</v>
      </c>
    </row>
    <row r="152" spans="1:9">
      <c r="A152" t="s">
        <v>157</v>
      </c>
      <c r="B152" s="4">
        <v>61.656990740739275</v>
      </c>
      <c r="C152">
        <v>5</v>
      </c>
      <c r="D152">
        <v>85.34</v>
      </c>
      <c r="E152" s="5" cm="1">
        <f t="array" ref="E152">_xlfn.IFS(B152&lt;=_xlfn.PERCENTILE.INC($B$2:$B$288,0.2),5,B152&lt;=_xlfn.PERCENTILE.INC($B$2:$B$288,0.4),4,B152&lt;=_xlfn.PERCENTILE.INC($B$2:$B$288,0.6),3,B152&lt;=_xlfn.PERCENTILE.INC($B$2:$B$288,0.8),2,B152&gt;_xlfn.PERCENTILE.INC($B$2:$B$288,0.8),1)</f>
        <v>4</v>
      </c>
      <c r="F152" cm="1">
        <f t="array" ref="F152">_xlfn.IFS(C152&gt;=_xlfn.PERCENTILE.INC($C$2:$C$288,0.8),5,C152&gt;=_xlfn.PERCENTILE.INC($C$2:$C$288,0.6),4,C152&gt;=_xlfn.PERCENTILE.INC($C$2:$C$288,0.4),3,C152&gt;=_xlfn.PERCENTILE.INC($C$2:$C$288,0.2),2,C152&lt;_xlfn.PERCENTILE.INC($C$2:$C$288,0.2),1)</f>
        <v>5</v>
      </c>
      <c r="G152" cm="1">
        <f t="array" ref="G152">_xlfn.IFS(D152&gt;=_xlfn.PERCENTILE.INC($D$2:$D$288,0.8),5,D152&gt;=_xlfn.PERCENTILE.INC($D$2:$D$288,0.6),4,D152&gt;=_xlfn.PERCENTILE.INC($D$2:$D$288,0.4),3,D152&gt;=_xlfn.PERCENTILE.INC($D$2:$D$288,0.2),2,D152&lt;_xlfn.PERCENTILE.INC($D$2:$D$288,0.2),1)</f>
        <v>4</v>
      </c>
      <c r="H152">
        <f t="shared" si="2"/>
        <v>13</v>
      </c>
      <c r="I152" t="str" cm="1">
        <f t="array" ref="I152">_xlfn.IFS(H152&gt;=13,"Best Customers",H152&gt;=10,"Loyal Customers",H152&gt;=7,"Potential Loyal Customers",H152&gt;=4,"Need Attention",TRUE,"At Risk")</f>
        <v>Best Customers</v>
      </c>
    </row>
    <row r="153" spans="1:9">
      <c r="A153" t="s">
        <v>713</v>
      </c>
      <c r="B153" s="4">
        <v>26.656990740739275</v>
      </c>
      <c r="C153">
        <v>4</v>
      </c>
      <c r="D153">
        <v>59.02</v>
      </c>
      <c r="E153" s="5" cm="1">
        <f t="array" ref="E153">_xlfn.IFS(B153&lt;=_xlfn.PERCENTILE.INC($B$2:$B$288,0.2),5,B153&lt;=_xlfn.PERCENTILE.INC($B$2:$B$288,0.4),4,B153&lt;=_xlfn.PERCENTILE.INC($B$2:$B$288,0.6),3,B153&lt;=_xlfn.PERCENTILE.INC($B$2:$B$288,0.8),2,B153&gt;_xlfn.PERCENTILE.INC($B$2:$B$288,0.8),1)</f>
        <v>5</v>
      </c>
      <c r="F153" cm="1">
        <f t="array" ref="F153">_xlfn.IFS(C153&gt;=_xlfn.PERCENTILE.INC($C$2:$C$288,0.8),5,C153&gt;=_xlfn.PERCENTILE.INC($C$2:$C$288,0.6),4,C153&gt;=_xlfn.PERCENTILE.INC($C$2:$C$288,0.4),3,C153&gt;=_xlfn.PERCENTILE.INC($C$2:$C$288,0.2),2,C153&lt;_xlfn.PERCENTILE.INC($C$2:$C$288,0.2),1)</f>
        <v>4</v>
      </c>
      <c r="G153" cm="1">
        <f t="array" ref="G153">_xlfn.IFS(D153&gt;=_xlfn.PERCENTILE.INC($D$2:$D$288,0.8),5,D153&gt;=_xlfn.PERCENTILE.INC($D$2:$D$288,0.6),4,D153&gt;=_xlfn.PERCENTILE.INC($D$2:$D$288,0.4),3,D153&gt;=_xlfn.PERCENTILE.INC($D$2:$D$288,0.2),2,D153&lt;_xlfn.PERCENTILE.INC($D$2:$D$288,0.2),1)</f>
        <v>3</v>
      </c>
      <c r="H153">
        <f t="shared" si="2"/>
        <v>12</v>
      </c>
      <c r="I153" t="str" cm="1">
        <f t="array" ref="I153">_xlfn.IFS(H153&gt;=13,"Best Customers",H153&gt;=10,"Loyal Customers",H153&gt;=7,"Potential Loyal Customers",H153&gt;=4,"Need Attention",TRUE,"At Risk")</f>
        <v>Loyal Customers</v>
      </c>
    </row>
    <row r="154" spans="1:9">
      <c r="A154" t="s">
        <v>9</v>
      </c>
      <c r="B154" s="4">
        <v>33.656990740739275</v>
      </c>
      <c r="C154">
        <v>8</v>
      </c>
      <c r="D154">
        <v>103.61000000000001</v>
      </c>
      <c r="E154" s="5" cm="1">
        <f t="array" ref="E154">_xlfn.IFS(B154&lt;=_xlfn.PERCENTILE.INC($B$2:$B$288,0.2),5,B154&lt;=_xlfn.PERCENTILE.INC($B$2:$B$288,0.4),4,B154&lt;=_xlfn.PERCENTILE.INC($B$2:$B$288,0.6),3,B154&lt;=_xlfn.PERCENTILE.INC($B$2:$B$288,0.8),2,B154&gt;_xlfn.PERCENTILE.INC($B$2:$B$288,0.8),1)</f>
        <v>5</v>
      </c>
      <c r="F154" cm="1">
        <f t="array" ref="F154">_xlfn.IFS(C154&gt;=_xlfn.PERCENTILE.INC($C$2:$C$288,0.8),5,C154&gt;=_xlfn.PERCENTILE.INC($C$2:$C$288,0.6),4,C154&gt;=_xlfn.PERCENTILE.INC($C$2:$C$288,0.4),3,C154&gt;=_xlfn.PERCENTILE.INC($C$2:$C$288,0.2),2,C154&lt;_xlfn.PERCENTILE.INC($C$2:$C$288,0.2),1)</f>
        <v>5</v>
      </c>
      <c r="G154" cm="1">
        <f t="array" ref="G154">_xlfn.IFS(D154&gt;=_xlfn.PERCENTILE.INC($D$2:$D$288,0.8),5,D154&gt;=_xlfn.PERCENTILE.INC($D$2:$D$288,0.6),4,D154&gt;=_xlfn.PERCENTILE.INC($D$2:$D$288,0.4),3,D154&gt;=_xlfn.PERCENTILE.INC($D$2:$D$288,0.2),2,D154&lt;_xlfn.PERCENTILE.INC($D$2:$D$288,0.2),1)</f>
        <v>5</v>
      </c>
      <c r="H154">
        <f t="shared" si="2"/>
        <v>15</v>
      </c>
      <c r="I154" t="str" cm="1">
        <f t="array" ref="I154">_xlfn.IFS(H154&gt;=13,"Best Customers",H154&gt;=10,"Loyal Customers",H154&gt;=7,"Potential Loyal Customers",H154&gt;=4,"Need Attention",TRUE,"At Risk")</f>
        <v>Best Customers</v>
      </c>
    </row>
    <row r="155" spans="1:9">
      <c r="A155" t="s">
        <v>342</v>
      </c>
      <c r="B155" s="4">
        <v>149.65699074073927</v>
      </c>
      <c r="C155">
        <v>2</v>
      </c>
      <c r="D155">
        <v>14.67</v>
      </c>
      <c r="E155" s="5" cm="1">
        <f t="array" ref="E155">_xlfn.IFS(B155&lt;=_xlfn.PERCENTILE.INC($B$2:$B$288,0.2),5,B155&lt;=_xlfn.PERCENTILE.INC($B$2:$B$288,0.4),4,B155&lt;=_xlfn.PERCENTILE.INC($B$2:$B$288,0.6),3,B155&lt;=_xlfn.PERCENTILE.INC($B$2:$B$288,0.8),2,B155&gt;_xlfn.PERCENTILE.INC($B$2:$B$288,0.8),1)</f>
        <v>2</v>
      </c>
      <c r="F155" cm="1">
        <f t="array" ref="F155">_xlfn.IFS(C155&gt;=_xlfn.PERCENTILE.INC($C$2:$C$288,0.8),5,C155&gt;=_xlfn.PERCENTILE.INC($C$2:$C$288,0.6),4,C155&gt;=_xlfn.PERCENTILE.INC($C$2:$C$288,0.4),3,C155&gt;=_xlfn.PERCENTILE.INC($C$2:$C$288,0.2),2,C155&lt;_xlfn.PERCENTILE.INC($C$2:$C$288,0.2),1)</f>
        <v>2</v>
      </c>
      <c r="G155" cm="1">
        <f t="array" ref="G155">_xlfn.IFS(D155&gt;=_xlfn.PERCENTILE.INC($D$2:$D$288,0.8),5,D155&gt;=_xlfn.PERCENTILE.INC($D$2:$D$288,0.6),4,D155&gt;=_xlfn.PERCENTILE.INC($D$2:$D$288,0.4),3,D155&gt;=_xlfn.PERCENTILE.INC($D$2:$D$288,0.2),2,D155&lt;_xlfn.PERCENTILE.INC($D$2:$D$288,0.2),1)</f>
        <v>1</v>
      </c>
      <c r="H155">
        <f t="shared" si="2"/>
        <v>5</v>
      </c>
      <c r="I155" t="str" cm="1">
        <f t="array" ref="I155">_xlfn.IFS(H155&gt;=13,"Best Customers",H155&gt;=10,"Loyal Customers",H155&gt;=7,"Potential Loyal Customers",H155&gt;=4,"Need Attention",TRUE,"At Risk")</f>
        <v>Need Attention</v>
      </c>
    </row>
    <row r="156" spans="1:9">
      <c r="A156" t="s">
        <v>809</v>
      </c>
      <c r="B156" s="4">
        <v>231.65699074073927</v>
      </c>
      <c r="C156">
        <v>3</v>
      </c>
      <c r="D156">
        <v>29.840000000000003</v>
      </c>
      <c r="E156" s="5" cm="1">
        <f t="array" ref="E156">_xlfn.IFS(B156&lt;=_xlfn.PERCENTILE.INC($B$2:$B$288,0.2),5,B156&lt;=_xlfn.PERCENTILE.INC($B$2:$B$288,0.4),4,B156&lt;=_xlfn.PERCENTILE.INC($B$2:$B$288,0.6),3,B156&lt;=_xlfn.PERCENTILE.INC($B$2:$B$288,0.8),2,B156&gt;_xlfn.PERCENTILE.INC($B$2:$B$288,0.8),1)</f>
        <v>1</v>
      </c>
      <c r="F156" cm="1">
        <f t="array" ref="F156">_xlfn.IFS(C156&gt;=_xlfn.PERCENTILE.INC($C$2:$C$288,0.8),5,C156&gt;=_xlfn.PERCENTILE.INC($C$2:$C$288,0.6),4,C156&gt;=_xlfn.PERCENTILE.INC($C$2:$C$288,0.4),3,C156&gt;=_xlfn.PERCENTILE.INC($C$2:$C$288,0.2),2,C156&lt;_xlfn.PERCENTILE.INC($C$2:$C$288,0.2),1)</f>
        <v>3</v>
      </c>
      <c r="G156" cm="1">
        <f t="array" ref="G156">_xlfn.IFS(D156&gt;=_xlfn.PERCENTILE.INC($D$2:$D$288,0.8),5,D156&gt;=_xlfn.PERCENTILE.INC($D$2:$D$288,0.6),4,D156&gt;=_xlfn.PERCENTILE.INC($D$2:$D$288,0.4),3,D156&gt;=_xlfn.PERCENTILE.INC($D$2:$D$288,0.2),2,D156&lt;_xlfn.PERCENTILE.INC($D$2:$D$288,0.2),1)</f>
        <v>2</v>
      </c>
      <c r="H156">
        <f t="shared" si="2"/>
        <v>6</v>
      </c>
      <c r="I156" t="str" cm="1">
        <f t="array" ref="I156">_xlfn.IFS(H156&gt;=13,"Best Customers",H156&gt;=10,"Loyal Customers",H156&gt;=7,"Potential Loyal Customers",H156&gt;=4,"Need Attention",TRUE,"At Risk")</f>
        <v>Need Attention</v>
      </c>
    </row>
    <row r="157" spans="1:9">
      <c r="A157" t="s">
        <v>511</v>
      </c>
      <c r="B157" s="4">
        <v>117.65699074073927</v>
      </c>
      <c r="C157">
        <v>4</v>
      </c>
      <c r="D157">
        <v>52.29</v>
      </c>
      <c r="E157" s="5" cm="1">
        <f t="array" ref="E157">_xlfn.IFS(B157&lt;=_xlfn.PERCENTILE.INC($B$2:$B$288,0.2),5,B157&lt;=_xlfn.PERCENTILE.INC($B$2:$B$288,0.4),4,B157&lt;=_xlfn.PERCENTILE.INC($B$2:$B$288,0.6),3,B157&lt;=_xlfn.PERCENTILE.INC($B$2:$B$288,0.8),2,B157&gt;_xlfn.PERCENTILE.INC($B$2:$B$288,0.8),1)</f>
        <v>3</v>
      </c>
      <c r="F157" cm="1">
        <f t="array" ref="F157">_xlfn.IFS(C157&gt;=_xlfn.PERCENTILE.INC($C$2:$C$288,0.8),5,C157&gt;=_xlfn.PERCENTILE.INC($C$2:$C$288,0.6),4,C157&gt;=_xlfn.PERCENTILE.INC($C$2:$C$288,0.4),3,C157&gt;=_xlfn.PERCENTILE.INC($C$2:$C$288,0.2),2,C157&lt;_xlfn.PERCENTILE.INC($C$2:$C$288,0.2),1)</f>
        <v>4</v>
      </c>
      <c r="G157" cm="1">
        <f t="array" ref="G157">_xlfn.IFS(D157&gt;=_xlfn.PERCENTILE.INC($D$2:$D$288,0.8),5,D157&gt;=_xlfn.PERCENTILE.INC($D$2:$D$288,0.6),4,D157&gt;=_xlfn.PERCENTILE.INC($D$2:$D$288,0.4),3,D157&gt;=_xlfn.PERCENTILE.INC($D$2:$D$288,0.2),2,D157&lt;_xlfn.PERCENTILE.INC($D$2:$D$288,0.2),1)</f>
        <v>3</v>
      </c>
      <c r="H157">
        <f t="shared" si="2"/>
        <v>10</v>
      </c>
      <c r="I157" t="str" cm="1">
        <f t="array" ref="I157">_xlfn.IFS(H157&gt;=13,"Best Customers",H157&gt;=10,"Loyal Customers",H157&gt;=7,"Potential Loyal Customers",H157&gt;=4,"Need Attention",TRUE,"At Risk")</f>
        <v>Loyal Customers</v>
      </c>
    </row>
    <row r="158" spans="1:9">
      <c r="A158" t="s">
        <v>74</v>
      </c>
      <c r="B158" s="4">
        <v>135.65699074073927</v>
      </c>
      <c r="C158">
        <v>4</v>
      </c>
      <c r="D158">
        <v>85.34</v>
      </c>
      <c r="E158" s="5" cm="1">
        <f t="array" ref="E158">_xlfn.IFS(B158&lt;=_xlfn.PERCENTILE.INC($B$2:$B$288,0.2),5,B158&lt;=_xlfn.PERCENTILE.INC($B$2:$B$288,0.4),4,B158&lt;=_xlfn.PERCENTILE.INC($B$2:$B$288,0.6),3,B158&lt;=_xlfn.PERCENTILE.INC($B$2:$B$288,0.8),2,B158&gt;_xlfn.PERCENTILE.INC($B$2:$B$288,0.8),1)</f>
        <v>2</v>
      </c>
      <c r="F158" cm="1">
        <f t="array" ref="F158">_xlfn.IFS(C158&gt;=_xlfn.PERCENTILE.INC($C$2:$C$288,0.8),5,C158&gt;=_xlfn.PERCENTILE.INC($C$2:$C$288,0.6),4,C158&gt;=_xlfn.PERCENTILE.INC($C$2:$C$288,0.4),3,C158&gt;=_xlfn.PERCENTILE.INC($C$2:$C$288,0.2),2,C158&lt;_xlfn.PERCENTILE.INC($C$2:$C$288,0.2),1)</f>
        <v>4</v>
      </c>
      <c r="G158" cm="1">
        <f t="array" ref="G158">_xlfn.IFS(D158&gt;=_xlfn.PERCENTILE.INC($D$2:$D$288,0.8),5,D158&gt;=_xlfn.PERCENTILE.INC($D$2:$D$288,0.6),4,D158&gt;=_xlfn.PERCENTILE.INC($D$2:$D$288,0.4),3,D158&gt;=_xlfn.PERCENTILE.INC($D$2:$D$288,0.2),2,D158&lt;_xlfn.PERCENTILE.INC($D$2:$D$288,0.2),1)</f>
        <v>4</v>
      </c>
      <c r="H158">
        <f t="shared" si="2"/>
        <v>10</v>
      </c>
      <c r="I158" t="str" cm="1">
        <f t="array" ref="I158">_xlfn.IFS(H158&gt;=13,"Best Customers",H158&gt;=10,"Loyal Customers",H158&gt;=7,"Potential Loyal Customers",H158&gt;=4,"Need Attention",TRUE,"At Risk")</f>
        <v>Loyal Customers</v>
      </c>
    </row>
    <row r="159" spans="1:9">
      <c r="A159" t="s">
        <v>331</v>
      </c>
      <c r="B159" s="4">
        <v>21.656990740739275</v>
      </c>
      <c r="C159">
        <v>4</v>
      </c>
      <c r="D159">
        <v>137.26</v>
      </c>
      <c r="E159" s="5" cm="1">
        <f t="array" ref="E159">_xlfn.IFS(B159&lt;=_xlfn.PERCENTILE.INC($B$2:$B$288,0.2),5,B159&lt;=_xlfn.PERCENTILE.INC($B$2:$B$288,0.4),4,B159&lt;=_xlfn.PERCENTILE.INC($B$2:$B$288,0.6),3,B159&lt;=_xlfn.PERCENTILE.INC($B$2:$B$288,0.8),2,B159&gt;_xlfn.PERCENTILE.INC($B$2:$B$288,0.8),1)</f>
        <v>5</v>
      </c>
      <c r="F159" cm="1">
        <f t="array" ref="F159">_xlfn.IFS(C159&gt;=_xlfn.PERCENTILE.INC($C$2:$C$288,0.8),5,C159&gt;=_xlfn.PERCENTILE.INC($C$2:$C$288,0.6),4,C159&gt;=_xlfn.PERCENTILE.INC($C$2:$C$288,0.4),3,C159&gt;=_xlfn.PERCENTILE.INC($C$2:$C$288,0.2),2,C159&lt;_xlfn.PERCENTILE.INC($C$2:$C$288,0.2),1)</f>
        <v>4</v>
      </c>
      <c r="G159" cm="1">
        <f t="array" ref="G159">_xlfn.IFS(D159&gt;=_xlfn.PERCENTILE.INC($D$2:$D$288,0.8),5,D159&gt;=_xlfn.PERCENTILE.INC($D$2:$D$288,0.6),4,D159&gt;=_xlfn.PERCENTILE.INC($D$2:$D$288,0.4),3,D159&gt;=_xlfn.PERCENTILE.INC($D$2:$D$288,0.2),2,D159&lt;_xlfn.PERCENTILE.INC($D$2:$D$288,0.2),1)</f>
        <v>5</v>
      </c>
      <c r="H159">
        <f t="shared" si="2"/>
        <v>14</v>
      </c>
      <c r="I159" t="str" cm="1">
        <f t="array" ref="I159">_xlfn.IFS(H159&gt;=13,"Best Customers",H159&gt;=10,"Loyal Customers",H159&gt;=7,"Potential Loyal Customers",H159&gt;=4,"Need Attention",TRUE,"At Risk")</f>
        <v>Best Customers</v>
      </c>
    </row>
    <row r="160" spans="1:9">
      <c r="A160" t="s">
        <v>1280</v>
      </c>
      <c r="B160" s="4">
        <v>264.65699074073927</v>
      </c>
      <c r="C160">
        <v>1</v>
      </c>
      <c r="D160">
        <v>10.17</v>
      </c>
      <c r="E160" s="5" cm="1">
        <f t="array" ref="E160">_xlfn.IFS(B160&lt;=_xlfn.PERCENTILE.INC($B$2:$B$288,0.2),5,B160&lt;=_xlfn.PERCENTILE.INC($B$2:$B$288,0.4),4,B160&lt;=_xlfn.PERCENTILE.INC($B$2:$B$288,0.6),3,B160&lt;=_xlfn.PERCENTILE.INC($B$2:$B$288,0.8),2,B160&gt;_xlfn.PERCENTILE.INC($B$2:$B$288,0.8),1)</f>
        <v>1</v>
      </c>
      <c r="F160" cm="1">
        <f t="array" ref="F160">_xlfn.IFS(C160&gt;=_xlfn.PERCENTILE.INC($C$2:$C$288,0.8),5,C160&gt;=_xlfn.PERCENTILE.INC($C$2:$C$288,0.6),4,C160&gt;=_xlfn.PERCENTILE.INC($C$2:$C$288,0.4),3,C160&gt;=_xlfn.PERCENTILE.INC($C$2:$C$288,0.2),2,C160&lt;_xlfn.PERCENTILE.INC($C$2:$C$288,0.2),1)</f>
        <v>1</v>
      </c>
      <c r="G160" cm="1">
        <f t="array" ref="G160">_xlfn.IFS(D160&gt;=_xlfn.PERCENTILE.INC($D$2:$D$288,0.8),5,D160&gt;=_xlfn.PERCENTILE.INC($D$2:$D$288,0.6),4,D160&gt;=_xlfn.PERCENTILE.INC($D$2:$D$288,0.4),3,D160&gt;=_xlfn.PERCENTILE.INC($D$2:$D$288,0.2),2,D160&lt;_xlfn.PERCENTILE.INC($D$2:$D$288,0.2),1)</f>
        <v>1</v>
      </c>
      <c r="H160">
        <f t="shared" si="2"/>
        <v>3</v>
      </c>
      <c r="I160" t="str" cm="1">
        <f t="array" ref="I160">_xlfn.IFS(H160&gt;=13,"Best Customers",H160&gt;=10,"Loyal Customers",H160&gt;=7,"Potential Loyal Customers",H160&gt;=4,"Need Attention",TRUE,"At Risk")</f>
        <v>At Risk</v>
      </c>
    </row>
    <row r="161" spans="1:9">
      <c r="A161" t="s">
        <v>26</v>
      </c>
      <c r="B161" s="4">
        <v>59.656990740739275</v>
      </c>
      <c r="C161">
        <v>3</v>
      </c>
      <c r="D161">
        <v>58.050000000000004</v>
      </c>
      <c r="E161" s="5" cm="1">
        <f t="array" ref="E161">_xlfn.IFS(B161&lt;=_xlfn.PERCENTILE.INC($B$2:$B$288,0.2),5,B161&lt;=_xlfn.PERCENTILE.INC($B$2:$B$288,0.4),4,B161&lt;=_xlfn.PERCENTILE.INC($B$2:$B$288,0.6),3,B161&lt;=_xlfn.PERCENTILE.INC($B$2:$B$288,0.8),2,B161&gt;_xlfn.PERCENTILE.INC($B$2:$B$288,0.8),1)</f>
        <v>4</v>
      </c>
      <c r="F161" cm="1">
        <f t="array" ref="F161">_xlfn.IFS(C161&gt;=_xlfn.PERCENTILE.INC($C$2:$C$288,0.8),5,C161&gt;=_xlfn.PERCENTILE.INC($C$2:$C$288,0.6),4,C161&gt;=_xlfn.PERCENTILE.INC($C$2:$C$288,0.4),3,C161&gt;=_xlfn.PERCENTILE.INC($C$2:$C$288,0.2),2,C161&lt;_xlfn.PERCENTILE.INC($C$2:$C$288,0.2),1)</f>
        <v>3</v>
      </c>
      <c r="G161" cm="1">
        <f t="array" ref="G161">_xlfn.IFS(D161&gt;=_xlfn.PERCENTILE.INC($D$2:$D$288,0.8),5,D161&gt;=_xlfn.PERCENTILE.INC($D$2:$D$288,0.6),4,D161&gt;=_xlfn.PERCENTILE.INC($D$2:$D$288,0.4),3,D161&gt;=_xlfn.PERCENTILE.INC($D$2:$D$288,0.2),2,D161&lt;_xlfn.PERCENTILE.INC($D$2:$D$288,0.2),1)</f>
        <v>3</v>
      </c>
      <c r="H161">
        <f t="shared" si="2"/>
        <v>10</v>
      </c>
      <c r="I161" t="str" cm="1">
        <f t="array" ref="I161">_xlfn.IFS(H161&gt;=13,"Best Customers",H161&gt;=10,"Loyal Customers",H161&gt;=7,"Potential Loyal Customers",H161&gt;=4,"Need Attention",TRUE,"At Risk")</f>
        <v>Loyal Customers</v>
      </c>
    </row>
    <row r="162" spans="1:9">
      <c r="A162" t="s">
        <v>767</v>
      </c>
      <c r="B162" s="4">
        <v>339.65699074073927</v>
      </c>
      <c r="C162">
        <v>2</v>
      </c>
      <c r="D162">
        <v>53.61</v>
      </c>
      <c r="E162" s="5" cm="1">
        <f t="array" ref="E162">_xlfn.IFS(B162&lt;=_xlfn.PERCENTILE.INC($B$2:$B$288,0.2),5,B162&lt;=_xlfn.PERCENTILE.INC($B$2:$B$288,0.4),4,B162&lt;=_xlfn.PERCENTILE.INC($B$2:$B$288,0.6),3,B162&lt;=_xlfn.PERCENTILE.INC($B$2:$B$288,0.8),2,B162&gt;_xlfn.PERCENTILE.INC($B$2:$B$288,0.8),1)</f>
        <v>1</v>
      </c>
      <c r="F162" cm="1">
        <f t="array" ref="F162">_xlfn.IFS(C162&gt;=_xlfn.PERCENTILE.INC($C$2:$C$288,0.8),5,C162&gt;=_xlfn.PERCENTILE.INC($C$2:$C$288,0.6),4,C162&gt;=_xlfn.PERCENTILE.INC($C$2:$C$288,0.4),3,C162&gt;=_xlfn.PERCENTILE.INC($C$2:$C$288,0.2),2,C162&lt;_xlfn.PERCENTILE.INC($C$2:$C$288,0.2),1)</f>
        <v>2</v>
      </c>
      <c r="G162" cm="1">
        <f t="array" ref="G162">_xlfn.IFS(D162&gt;=_xlfn.PERCENTILE.INC($D$2:$D$288,0.8),5,D162&gt;=_xlfn.PERCENTILE.INC($D$2:$D$288,0.6),4,D162&gt;=_xlfn.PERCENTILE.INC($D$2:$D$288,0.4),3,D162&gt;=_xlfn.PERCENTILE.INC($D$2:$D$288,0.2),2,D162&lt;_xlfn.PERCENTILE.INC($D$2:$D$288,0.2),1)</f>
        <v>3</v>
      </c>
      <c r="H162">
        <f t="shared" si="2"/>
        <v>6</v>
      </c>
      <c r="I162" t="str" cm="1">
        <f t="array" ref="I162">_xlfn.IFS(H162&gt;=13,"Best Customers",H162&gt;=10,"Loyal Customers",H162&gt;=7,"Potential Loyal Customers",H162&gt;=4,"Need Attention",TRUE,"At Risk")</f>
        <v>Need Attention</v>
      </c>
    </row>
    <row r="163" spans="1:9">
      <c r="A163" t="s">
        <v>628</v>
      </c>
      <c r="B163" s="4">
        <v>47.656990740739275</v>
      </c>
      <c r="C163">
        <v>4</v>
      </c>
      <c r="D163">
        <v>62.59</v>
      </c>
      <c r="E163" s="5" cm="1">
        <f t="array" ref="E163">_xlfn.IFS(B163&lt;=_xlfn.PERCENTILE.INC($B$2:$B$288,0.2),5,B163&lt;=_xlfn.PERCENTILE.INC($B$2:$B$288,0.4),4,B163&lt;=_xlfn.PERCENTILE.INC($B$2:$B$288,0.6),3,B163&lt;=_xlfn.PERCENTILE.INC($B$2:$B$288,0.8),2,B163&gt;_xlfn.PERCENTILE.INC($B$2:$B$288,0.8),1)</f>
        <v>4</v>
      </c>
      <c r="F163" cm="1">
        <f t="array" ref="F163">_xlfn.IFS(C163&gt;=_xlfn.PERCENTILE.INC($C$2:$C$288,0.8),5,C163&gt;=_xlfn.PERCENTILE.INC($C$2:$C$288,0.6),4,C163&gt;=_xlfn.PERCENTILE.INC($C$2:$C$288,0.4),3,C163&gt;=_xlfn.PERCENTILE.INC($C$2:$C$288,0.2),2,C163&lt;_xlfn.PERCENTILE.INC($C$2:$C$288,0.2),1)</f>
        <v>4</v>
      </c>
      <c r="G163" cm="1">
        <f t="array" ref="G163">_xlfn.IFS(D163&gt;=_xlfn.PERCENTILE.INC($D$2:$D$288,0.8),5,D163&gt;=_xlfn.PERCENTILE.INC($D$2:$D$288,0.6),4,D163&gt;=_xlfn.PERCENTILE.INC($D$2:$D$288,0.4),3,D163&gt;=_xlfn.PERCENTILE.INC($D$2:$D$288,0.2),2,D163&lt;_xlfn.PERCENTILE.INC($D$2:$D$288,0.2),1)</f>
        <v>4</v>
      </c>
      <c r="H163">
        <f t="shared" si="2"/>
        <v>12</v>
      </c>
      <c r="I163" t="str" cm="1">
        <f t="array" ref="I163">_xlfn.IFS(H163&gt;=13,"Best Customers",H163&gt;=10,"Loyal Customers",H163&gt;=7,"Potential Loyal Customers",H163&gt;=4,"Need Attention",TRUE,"At Risk")</f>
        <v>Loyal Customers</v>
      </c>
    </row>
    <row r="164" spans="1:9">
      <c r="A164" t="s">
        <v>209</v>
      </c>
      <c r="B164" s="4">
        <v>94.656990740739275</v>
      </c>
      <c r="C164">
        <v>3</v>
      </c>
      <c r="D164">
        <v>37.590000000000003</v>
      </c>
      <c r="E164" s="5" cm="1">
        <f t="array" ref="E164">_xlfn.IFS(B164&lt;=_xlfn.PERCENTILE.INC($B$2:$B$288,0.2),5,B164&lt;=_xlfn.PERCENTILE.INC($B$2:$B$288,0.4),4,B164&lt;=_xlfn.PERCENTILE.INC($B$2:$B$288,0.6),3,B164&lt;=_xlfn.PERCENTILE.INC($B$2:$B$288,0.8),2,B164&gt;_xlfn.PERCENTILE.INC($B$2:$B$288,0.8),1)</f>
        <v>3</v>
      </c>
      <c r="F164" cm="1">
        <f t="array" ref="F164">_xlfn.IFS(C164&gt;=_xlfn.PERCENTILE.INC($C$2:$C$288,0.8),5,C164&gt;=_xlfn.PERCENTILE.INC($C$2:$C$288,0.6),4,C164&gt;=_xlfn.PERCENTILE.INC($C$2:$C$288,0.4),3,C164&gt;=_xlfn.PERCENTILE.INC($C$2:$C$288,0.2),2,C164&lt;_xlfn.PERCENTILE.INC($C$2:$C$288,0.2),1)</f>
        <v>3</v>
      </c>
      <c r="G164" cm="1">
        <f t="array" ref="G164">_xlfn.IFS(D164&gt;=_xlfn.PERCENTILE.INC($D$2:$D$288,0.8),5,D164&gt;=_xlfn.PERCENTILE.INC($D$2:$D$288,0.6),4,D164&gt;=_xlfn.PERCENTILE.INC($D$2:$D$288,0.4),3,D164&gt;=_xlfn.PERCENTILE.INC($D$2:$D$288,0.2),2,D164&lt;_xlfn.PERCENTILE.INC($D$2:$D$288,0.2),1)</f>
        <v>2</v>
      </c>
      <c r="H164">
        <f t="shared" si="2"/>
        <v>8</v>
      </c>
      <c r="I164" t="str" cm="1">
        <f t="array" ref="I164">_xlfn.IFS(H164&gt;=13,"Best Customers",H164&gt;=10,"Loyal Customers",H164&gt;=7,"Potential Loyal Customers",H164&gt;=4,"Need Attention",TRUE,"At Risk")</f>
        <v>Potential Loyal Customers</v>
      </c>
    </row>
    <row r="165" spans="1:9">
      <c r="A165" t="s">
        <v>22</v>
      </c>
      <c r="B165" s="4">
        <v>71.656990740739275</v>
      </c>
      <c r="C165">
        <v>3</v>
      </c>
      <c r="D165">
        <v>61.62</v>
      </c>
      <c r="E165" s="5" cm="1">
        <f t="array" ref="E165">_xlfn.IFS(B165&lt;=_xlfn.PERCENTILE.INC($B$2:$B$288,0.2),5,B165&lt;=_xlfn.PERCENTILE.INC($B$2:$B$288,0.4),4,B165&lt;=_xlfn.PERCENTILE.INC($B$2:$B$288,0.6),3,B165&lt;=_xlfn.PERCENTILE.INC($B$2:$B$288,0.8),2,B165&gt;_xlfn.PERCENTILE.INC($B$2:$B$288,0.8),1)</f>
        <v>4</v>
      </c>
      <c r="F165" cm="1">
        <f t="array" ref="F165">_xlfn.IFS(C165&gt;=_xlfn.PERCENTILE.INC($C$2:$C$288,0.8),5,C165&gt;=_xlfn.PERCENTILE.INC($C$2:$C$288,0.6),4,C165&gt;=_xlfn.PERCENTILE.INC($C$2:$C$288,0.4),3,C165&gt;=_xlfn.PERCENTILE.INC($C$2:$C$288,0.2),2,C165&lt;_xlfn.PERCENTILE.INC($C$2:$C$288,0.2),1)</f>
        <v>3</v>
      </c>
      <c r="G165" cm="1">
        <f t="array" ref="G165">_xlfn.IFS(D165&gt;=_xlfn.PERCENTILE.INC($D$2:$D$288,0.8),5,D165&gt;=_xlfn.PERCENTILE.INC($D$2:$D$288,0.6),4,D165&gt;=_xlfn.PERCENTILE.INC($D$2:$D$288,0.4),3,D165&gt;=_xlfn.PERCENTILE.INC($D$2:$D$288,0.2),2,D165&lt;_xlfn.PERCENTILE.INC($D$2:$D$288,0.2),1)</f>
        <v>4</v>
      </c>
      <c r="H165">
        <f t="shared" si="2"/>
        <v>11</v>
      </c>
      <c r="I165" t="str" cm="1">
        <f t="array" ref="I165">_xlfn.IFS(H165&gt;=13,"Best Customers",H165&gt;=10,"Loyal Customers",H165&gt;=7,"Potential Loyal Customers",H165&gt;=4,"Need Attention",TRUE,"At Risk")</f>
        <v>Loyal Customers</v>
      </c>
    </row>
    <row r="166" spans="1:9">
      <c r="A166" t="s">
        <v>173</v>
      </c>
      <c r="B166" s="4">
        <v>44.656990740739275</v>
      </c>
      <c r="C166">
        <v>4</v>
      </c>
      <c r="D166">
        <v>52.510000000000005</v>
      </c>
      <c r="E166" s="5" cm="1">
        <f t="array" ref="E166">_xlfn.IFS(B166&lt;=_xlfn.PERCENTILE.INC($B$2:$B$288,0.2),5,B166&lt;=_xlfn.PERCENTILE.INC($B$2:$B$288,0.4),4,B166&lt;=_xlfn.PERCENTILE.INC($B$2:$B$288,0.6),3,B166&lt;=_xlfn.PERCENTILE.INC($B$2:$B$288,0.8),2,B166&gt;_xlfn.PERCENTILE.INC($B$2:$B$288,0.8),1)</f>
        <v>4</v>
      </c>
      <c r="F166" cm="1">
        <f t="array" ref="F166">_xlfn.IFS(C166&gt;=_xlfn.PERCENTILE.INC($C$2:$C$288,0.8),5,C166&gt;=_xlfn.PERCENTILE.INC($C$2:$C$288,0.6),4,C166&gt;=_xlfn.PERCENTILE.INC($C$2:$C$288,0.4),3,C166&gt;=_xlfn.PERCENTILE.INC($C$2:$C$288,0.2),2,C166&lt;_xlfn.PERCENTILE.INC($C$2:$C$288,0.2),1)</f>
        <v>4</v>
      </c>
      <c r="G166" cm="1">
        <f t="array" ref="G166">_xlfn.IFS(D166&gt;=_xlfn.PERCENTILE.INC($D$2:$D$288,0.8),5,D166&gt;=_xlfn.PERCENTILE.INC($D$2:$D$288,0.6),4,D166&gt;=_xlfn.PERCENTILE.INC($D$2:$D$288,0.4),3,D166&gt;=_xlfn.PERCENTILE.INC($D$2:$D$288,0.2),2,D166&lt;_xlfn.PERCENTILE.INC($D$2:$D$288,0.2),1)</f>
        <v>3</v>
      </c>
      <c r="H166">
        <f t="shared" si="2"/>
        <v>11</v>
      </c>
      <c r="I166" t="str" cm="1">
        <f t="array" ref="I166">_xlfn.IFS(H166&gt;=13,"Best Customers",H166&gt;=10,"Loyal Customers",H166&gt;=7,"Potential Loyal Customers",H166&gt;=4,"Need Attention",TRUE,"At Risk")</f>
        <v>Loyal Customers</v>
      </c>
    </row>
    <row r="167" spans="1:9">
      <c r="A167" t="s">
        <v>896</v>
      </c>
      <c r="B167" s="4">
        <v>55.656990740739275</v>
      </c>
      <c r="C167">
        <v>2</v>
      </c>
      <c r="D167">
        <v>55.1</v>
      </c>
      <c r="E167" s="5" cm="1">
        <f t="array" ref="E167">_xlfn.IFS(B167&lt;=_xlfn.PERCENTILE.INC($B$2:$B$288,0.2),5,B167&lt;=_xlfn.PERCENTILE.INC($B$2:$B$288,0.4),4,B167&lt;=_xlfn.PERCENTILE.INC($B$2:$B$288,0.6),3,B167&lt;=_xlfn.PERCENTILE.INC($B$2:$B$288,0.8),2,B167&gt;_xlfn.PERCENTILE.INC($B$2:$B$288,0.8),1)</f>
        <v>4</v>
      </c>
      <c r="F167" cm="1">
        <f t="array" ref="F167">_xlfn.IFS(C167&gt;=_xlfn.PERCENTILE.INC($C$2:$C$288,0.8),5,C167&gt;=_xlfn.PERCENTILE.INC($C$2:$C$288,0.6),4,C167&gt;=_xlfn.PERCENTILE.INC($C$2:$C$288,0.4),3,C167&gt;=_xlfn.PERCENTILE.INC($C$2:$C$288,0.2),2,C167&lt;_xlfn.PERCENTILE.INC($C$2:$C$288,0.2),1)</f>
        <v>2</v>
      </c>
      <c r="G167" cm="1">
        <f t="array" ref="G167">_xlfn.IFS(D167&gt;=_xlfn.PERCENTILE.INC($D$2:$D$288,0.8),5,D167&gt;=_xlfn.PERCENTILE.INC($D$2:$D$288,0.6),4,D167&gt;=_xlfn.PERCENTILE.INC($D$2:$D$288,0.4),3,D167&gt;=_xlfn.PERCENTILE.INC($D$2:$D$288,0.2),2,D167&lt;_xlfn.PERCENTILE.INC($D$2:$D$288,0.2),1)</f>
        <v>3</v>
      </c>
      <c r="H167">
        <f t="shared" si="2"/>
        <v>9</v>
      </c>
      <c r="I167" t="str" cm="1">
        <f t="array" ref="I167">_xlfn.IFS(H167&gt;=13,"Best Customers",H167&gt;=10,"Loyal Customers",H167&gt;=7,"Potential Loyal Customers",H167&gt;=4,"Need Attention",TRUE,"At Risk")</f>
        <v>Potential Loyal Customers</v>
      </c>
    </row>
    <row r="168" spans="1:9">
      <c r="A168" t="s">
        <v>321</v>
      </c>
      <c r="B168" s="4">
        <v>47.656990740739275</v>
      </c>
      <c r="C168">
        <v>6</v>
      </c>
      <c r="D168">
        <v>86.22</v>
      </c>
      <c r="E168" s="5" cm="1">
        <f t="array" ref="E168">_xlfn.IFS(B168&lt;=_xlfn.PERCENTILE.INC($B$2:$B$288,0.2),5,B168&lt;=_xlfn.PERCENTILE.INC($B$2:$B$288,0.4),4,B168&lt;=_xlfn.PERCENTILE.INC($B$2:$B$288,0.6),3,B168&lt;=_xlfn.PERCENTILE.INC($B$2:$B$288,0.8),2,B168&gt;_xlfn.PERCENTILE.INC($B$2:$B$288,0.8),1)</f>
        <v>4</v>
      </c>
      <c r="F168" cm="1">
        <f t="array" ref="F168">_xlfn.IFS(C168&gt;=_xlfn.PERCENTILE.INC($C$2:$C$288,0.8),5,C168&gt;=_xlfn.PERCENTILE.INC($C$2:$C$288,0.6),4,C168&gt;=_xlfn.PERCENTILE.INC($C$2:$C$288,0.4),3,C168&gt;=_xlfn.PERCENTILE.INC($C$2:$C$288,0.2),2,C168&lt;_xlfn.PERCENTILE.INC($C$2:$C$288,0.2),1)</f>
        <v>5</v>
      </c>
      <c r="G168" cm="1">
        <f t="array" ref="G168">_xlfn.IFS(D168&gt;=_xlfn.PERCENTILE.INC($D$2:$D$288,0.8),5,D168&gt;=_xlfn.PERCENTILE.INC($D$2:$D$288,0.6),4,D168&gt;=_xlfn.PERCENTILE.INC($D$2:$D$288,0.4),3,D168&gt;=_xlfn.PERCENTILE.INC($D$2:$D$288,0.2),2,D168&lt;_xlfn.PERCENTILE.INC($D$2:$D$288,0.2),1)</f>
        <v>4</v>
      </c>
      <c r="H168">
        <f t="shared" si="2"/>
        <v>13</v>
      </c>
      <c r="I168" t="str" cm="1">
        <f t="array" ref="I168">_xlfn.IFS(H168&gt;=13,"Best Customers",H168&gt;=10,"Loyal Customers",H168&gt;=7,"Potential Loyal Customers",H168&gt;=4,"Need Attention",TRUE,"At Risk")</f>
        <v>Best Customers</v>
      </c>
    </row>
    <row r="169" spans="1:9">
      <c r="A169" t="s">
        <v>601</v>
      </c>
      <c r="B169" s="4">
        <v>57.656990740739275</v>
      </c>
      <c r="C169">
        <v>4</v>
      </c>
      <c r="D169">
        <v>107.85</v>
      </c>
      <c r="E169" s="5" cm="1">
        <f t="array" ref="E169">_xlfn.IFS(B169&lt;=_xlfn.PERCENTILE.INC($B$2:$B$288,0.2),5,B169&lt;=_xlfn.PERCENTILE.INC($B$2:$B$288,0.4),4,B169&lt;=_xlfn.PERCENTILE.INC($B$2:$B$288,0.6),3,B169&lt;=_xlfn.PERCENTILE.INC($B$2:$B$288,0.8),2,B169&gt;_xlfn.PERCENTILE.INC($B$2:$B$288,0.8),1)</f>
        <v>4</v>
      </c>
      <c r="F169" cm="1">
        <f t="array" ref="F169">_xlfn.IFS(C169&gt;=_xlfn.PERCENTILE.INC($C$2:$C$288,0.8),5,C169&gt;=_xlfn.PERCENTILE.INC($C$2:$C$288,0.6),4,C169&gt;=_xlfn.PERCENTILE.INC($C$2:$C$288,0.4),3,C169&gt;=_xlfn.PERCENTILE.INC($C$2:$C$288,0.2),2,C169&lt;_xlfn.PERCENTILE.INC($C$2:$C$288,0.2),1)</f>
        <v>4</v>
      </c>
      <c r="G169" cm="1">
        <f t="array" ref="G169">_xlfn.IFS(D169&gt;=_xlfn.PERCENTILE.INC($D$2:$D$288,0.8),5,D169&gt;=_xlfn.PERCENTILE.INC($D$2:$D$288,0.6),4,D169&gt;=_xlfn.PERCENTILE.INC($D$2:$D$288,0.4),3,D169&gt;=_xlfn.PERCENTILE.INC($D$2:$D$288,0.2),2,D169&lt;_xlfn.PERCENTILE.INC($D$2:$D$288,0.2),1)</f>
        <v>5</v>
      </c>
      <c r="H169">
        <f t="shared" si="2"/>
        <v>13</v>
      </c>
      <c r="I169" t="str" cm="1">
        <f t="array" ref="I169">_xlfn.IFS(H169&gt;=13,"Best Customers",H169&gt;=10,"Loyal Customers",H169&gt;=7,"Potential Loyal Customers",H169&gt;=4,"Need Attention",TRUE,"At Risk")</f>
        <v>Best Customers</v>
      </c>
    </row>
    <row r="170" spans="1:9">
      <c r="A170" t="s">
        <v>279</v>
      </c>
      <c r="B170" s="4">
        <v>32.656990740739275</v>
      </c>
      <c r="C170">
        <v>5</v>
      </c>
      <c r="D170">
        <v>122.91</v>
      </c>
      <c r="E170" s="5" cm="1">
        <f t="array" ref="E170">_xlfn.IFS(B170&lt;=_xlfn.PERCENTILE.INC($B$2:$B$288,0.2),5,B170&lt;=_xlfn.PERCENTILE.INC($B$2:$B$288,0.4),4,B170&lt;=_xlfn.PERCENTILE.INC($B$2:$B$288,0.6),3,B170&lt;=_xlfn.PERCENTILE.INC($B$2:$B$288,0.8),2,B170&gt;_xlfn.PERCENTILE.INC($B$2:$B$288,0.8),1)</f>
        <v>5</v>
      </c>
      <c r="F170" cm="1">
        <f t="array" ref="F170">_xlfn.IFS(C170&gt;=_xlfn.PERCENTILE.INC($C$2:$C$288,0.8),5,C170&gt;=_xlfn.PERCENTILE.INC($C$2:$C$288,0.6),4,C170&gt;=_xlfn.PERCENTILE.INC($C$2:$C$288,0.4),3,C170&gt;=_xlfn.PERCENTILE.INC($C$2:$C$288,0.2),2,C170&lt;_xlfn.PERCENTILE.INC($C$2:$C$288,0.2),1)</f>
        <v>5</v>
      </c>
      <c r="G170" cm="1">
        <f t="array" ref="G170">_xlfn.IFS(D170&gt;=_xlfn.PERCENTILE.INC($D$2:$D$288,0.8),5,D170&gt;=_xlfn.PERCENTILE.INC($D$2:$D$288,0.6),4,D170&gt;=_xlfn.PERCENTILE.INC($D$2:$D$288,0.4),3,D170&gt;=_xlfn.PERCENTILE.INC($D$2:$D$288,0.2),2,D170&lt;_xlfn.PERCENTILE.INC($D$2:$D$288,0.2),1)</f>
        <v>5</v>
      </c>
      <c r="H170">
        <f t="shared" si="2"/>
        <v>15</v>
      </c>
      <c r="I170" t="str" cm="1">
        <f t="array" ref="I170">_xlfn.IFS(H170&gt;=13,"Best Customers",H170&gt;=10,"Loyal Customers",H170&gt;=7,"Potential Loyal Customers",H170&gt;=4,"Need Attention",TRUE,"At Risk")</f>
        <v>Best Customers</v>
      </c>
    </row>
    <row r="171" spans="1:9">
      <c r="A171" t="s">
        <v>12</v>
      </c>
      <c r="B171" s="4">
        <v>111.65699074073927</v>
      </c>
      <c r="C171">
        <v>5</v>
      </c>
      <c r="D171">
        <v>114.12</v>
      </c>
      <c r="E171" s="5" cm="1">
        <f t="array" ref="E171">_xlfn.IFS(B171&lt;=_xlfn.PERCENTILE.INC($B$2:$B$288,0.2),5,B171&lt;=_xlfn.PERCENTILE.INC($B$2:$B$288,0.4),4,B171&lt;=_xlfn.PERCENTILE.INC($B$2:$B$288,0.6),3,B171&lt;=_xlfn.PERCENTILE.INC($B$2:$B$288,0.8),2,B171&gt;_xlfn.PERCENTILE.INC($B$2:$B$288,0.8),1)</f>
        <v>3</v>
      </c>
      <c r="F171" cm="1">
        <f t="array" ref="F171">_xlfn.IFS(C171&gt;=_xlfn.PERCENTILE.INC($C$2:$C$288,0.8),5,C171&gt;=_xlfn.PERCENTILE.INC($C$2:$C$288,0.6),4,C171&gt;=_xlfn.PERCENTILE.INC($C$2:$C$288,0.4),3,C171&gt;=_xlfn.PERCENTILE.INC($C$2:$C$288,0.2),2,C171&lt;_xlfn.PERCENTILE.INC($C$2:$C$288,0.2),1)</f>
        <v>5</v>
      </c>
      <c r="G171" cm="1">
        <f t="array" ref="G171">_xlfn.IFS(D171&gt;=_xlfn.PERCENTILE.INC($D$2:$D$288,0.8),5,D171&gt;=_xlfn.PERCENTILE.INC($D$2:$D$288,0.6),4,D171&gt;=_xlfn.PERCENTILE.INC($D$2:$D$288,0.4),3,D171&gt;=_xlfn.PERCENTILE.INC($D$2:$D$288,0.2),2,D171&lt;_xlfn.PERCENTILE.INC($D$2:$D$288,0.2),1)</f>
        <v>5</v>
      </c>
      <c r="H171">
        <f t="shared" si="2"/>
        <v>13</v>
      </c>
      <c r="I171" t="str" cm="1">
        <f t="array" ref="I171">_xlfn.IFS(H171&gt;=13,"Best Customers",H171&gt;=10,"Loyal Customers",H171&gt;=7,"Potential Loyal Customers",H171&gt;=4,"Need Attention",TRUE,"At Risk")</f>
        <v>Best Customers</v>
      </c>
    </row>
    <row r="172" spans="1:9">
      <c r="A172" t="s">
        <v>100</v>
      </c>
      <c r="B172" s="4">
        <v>53.656990740739275</v>
      </c>
      <c r="C172">
        <v>5</v>
      </c>
      <c r="D172">
        <v>55.540000000000006</v>
      </c>
      <c r="E172" s="5" cm="1">
        <f t="array" ref="E172">_xlfn.IFS(B172&lt;=_xlfn.PERCENTILE.INC($B$2:$B$288,0.2),5,B172&lt;=_xlfn.PERCENTILE.INC($B$2:$B$288,0.4),4,B172&lt;=_xlfn.PERCENTILE.INC($B$2:$B$288,0.6),3,B172&lt;=_xlfn.PERCENTILE.INC($B$2:$B$288,0.8),2,B172&gt;_xlfn.PERCENTILE.INC($B$2:$B$288,0.8),1)</f>
        <v>4</v>
      </c>
      <c r="F172" cm="1">
        <f t="array" ref="F172">_xlfn.IFS(C172&gt;=_xlfn.PERCENTILE.INC($C$2:$C$288,0.8),5,C172&gt;=_xlfn.PERCENTILE.INC($C$2:$C$288,0.6),4,C172&gt;=_xlfn.PERCENTILE.INC($C$2:$C$288,0.4),3,C172&gt;=_xlfn.PERCENTILE.INC($C$2:$C$288,0.2),2,C172&lt;_xlfn.PERCENTILE.INC($C$2:$C$288,0.2),1)</f>
        <v>5</v>
      </c>
      <c r="G172" cm="1">
        <f t="array" ref="G172">_xlfn.IFS(D172&gt;=_xlfn.PERCENTILE.INC($D$2:$D$288,0.8),5,D172&gt;=_xlfn.PERCENTILE.INC($D$2:$D$288,0.6),4,D172&gt;=_xlfn.PERCENTILE.INC($D$2:$D$288,0.4),3,D172&gt;=_xlfn.PERCENTILE.INC($D$2:$D$288,0.2),2,D172&lt;_xlfn.PERCENTILE.INC($D$2:$D$288,0.2),1)</f>
        <v>3</v>
      </c>
      <c r="H172">
        <f t="shared" si="2"/>
        <v>12</v>
      </c>
      <c r="I172" t="str" cm="1">
        <f t="array" ref="I172">_xlfn.IFS(H172&gt;=13,"Best Customers",H172&gt;=10,"Loyal Customers",H172&gt;=7,"Potential Loyal Customers",H172&gt;=4,"Need Attention",TRUE,"At Risk")</f>
        <v>Loyal Customers</v>
      </c>
    </row>
    <row r="173" spans="1:9">
      <c r="A173" t="s">
        <v>275</v>
      </c>
      <c r="B173" s="4">
        <v>346.65699074073927</v>
      </c>
      <c r="C173">
        <v>1</v>
      </c>
      <c r="D173">
        <v>12.12</v>
      </c>
      <c r="E173" s="5" cm="1">
        <f t="array" ref="E173">_xlfn.IFS(B173&lt;=_xlfn.PERCENTILE.INC($B$2:$B$288,0.2),5,B173&lt;=_xlfn.PERCENTILE.INC($B$2:$B$288,0.4),4,B173&lt;=_xlfn.PERCENTILE.INC($B$2:$B$288,0.6),3,B173&lt;=_xlfn.PERCENTILE.INC($B$2:$B$288,0.8),2,B173&gt;_xlfn.PERCENTILE.INC($B$2:$B$288,0.8),1)</f>
        <v>1</v>
      </c>
      <c r="F173" cm="1">
        <f t="array" ref="F173">_xlfn.IFS(C173&gt;=_xlfn.PERCENTILE.INC($C$2:$C$288,0.8),5,C173&gt;=_xlfn.PERCENTILE.INC($C$2:$C$288,0.6),4,C173&gt;=_xlfn.PERCENTILE.INC($C$2:$C$288,0.4),3,C173&gt;=_xlfn.PERCENTILE.INC($C$2:$C$288,0.2),2,C173&lt;_xlfn.PERCENTILE.INC($C$2:$C$288,0.2),1)</f>
        <v>1</v>
      </c>
      <c r="G173" cm="1">
        <f t="array" ref="G173">_xlfn.IFS(D173&gt;=_xlfn.PERCENTILE.INC($D$2:$D$288,0.8),5,D173&gt;=_xlfn.PERCENTILE.INC($D$2:$D$288,0.6),4,D173&gt;=_xlfn.PERCENTILE.INC($D$2:$D$288,0.4),3,D173&gt;=_xlfn.PERCENTILE.INC($D$2:$D$288,0.2),2,D173&lt;_xlfn.PERCENTILE.INC($D$2:$D$288,0.2),1)</f>
        <v>1</v>
      </c>
      <c r="H173">
        <f t="shared" si="2"/>
        <v>3</v>
      </c>
      <c r="I173" t="str" cm="1">
        <f t="array" ref="I173">_xlfn.IFS(H173&gt;=13,"Best Customers",H173&gt;=10,"Loyal Customers",H173&gt;=7,"Potential Loyal Customers",H173&gt;=4,"Need Attention",TRUE,"At Risk")</f>
        <v>At Risk</v>
      </c>
    </row>
    <row r="174" spans="1:9">
      <c r="A174" t="s">
        <v>502</v>
      </c>
      <c r="B174" s="4">
        <v>199.65699074073927</v>
      </c>
      <c r="C174">
        <v>4</v>
      </c>
      <c r="D174">
        <v>34.24</v>
      </c>
      <c r="E174" s="5" cm="1">
        <f t="array" ref="E174">_xlfn.IFS(B174&lt;=_xlfn.PERCENTILE.INC($B$2:$B$288,0.2),5,B174&lt;=_xlfn.PERCENTILE.INC($B$2:$B$288,0.4),4,B174&lt;=_xlfn.PERCENTILE.INC($B$2:$B$288,0.6),3,B174&lt;=_xlfn.PERCENTILE.INC($B$2:$B$288,0.8),2,B174&gt;_xlfn.PERCENTILE.INC($B$2:$B$288,0.8),1)</f>
        <v>1</v>
      </c>
      <c r="F174" cm="1">
        <f t="array" ref="F174">_xlfn.IFS(C174&gt;=_xlfn.PERCENTILE.INC($C$2:$C$288,0.8),5,C174&gt;=_xlfn.PERCENTILE.INC($C$2:$C$288,0.6),4,C174&gt;=_xlfn.PERCENTILE.INC($C$2:$C$288,0.4),3,C174&gt;=_xlfn.PERCENTILE.INC($C$2:$C$288,0.2),2,C174&lt;_xlfn.PERCENTILE.INC($C$2:$C$288,0.2),1)</f>
        <v>4</v>
      </c>
      <c r="G174" cm="1">
        <f t="array" ref="G174">_xlfn.IFS(D174&gt;=_xlfn.PERCENTILE.INC($D$2:$D$288,0.8),5,D174&gt;=_xlfn.PERCENTILE.INC($D$2:$D$288,0.6),4,D174&gt;=_xlfn.PERCENTILE.INC($D$2:$D$288,0.4),3,D174&gt;=_xlfn.PERCENTILE.INC($D$2:$D$288,0.2),2,D174&lt;_xlfn.PERCENTILE.INC($D$2:$D$288,0.2),1)</f>
        <v>2</v>
      </c>
      <c r="H174">
        <f t="shared" si="2"/>
        <v>7</v>
      </c>
      <c r="I174" t="str" cm="1">
        <f t="array" ref="I174">_xlfn.IFS(H174&gt;=13,"Best Customers",H174&gt;=10,"Loyal Customers",H174&gt;=7,"Potential Loyal Customers",H174&gt;=4,"Need Attention",TRUE,"At Risk")</f>
        <v>Potential Loyal Customers</v>
      </c>
    </row>
    <row r="175" spans="1:9">
      <c r="A175" t="s">
        <v>238</v>
      </c>
      <c r="B175" s="4">
        <v>125.65699074073927</v>
      </c>
      <c r="C175">
        <v>3</v>
      </c>
      <c r="D175">
        <v>33.46</v>
      </c>
      <c r="E175" s="5" cm="1">
        <f t="array" ref="E175">_xlfn.IFS(B175&lt;=_xlfn.PERCENTILE.INC($B$2:$B$288,0.2),5,B175&lt;=_xlfn.PERCENTILE.INC($B$2:$B$288,0.4),4,B175&lt;=_xlfn.PERCENTILE.INC($B$2:$B$288,0.6),3,B175&lt;=_xlfn.PERCENTILE.INC($B$2:$B$288,0.8),2,B175&gt;_xlfn.PERCENTILE.INC($B$2:$B$288,0.8),1)</f>
        <v>2</v>
      </c>
      <c r="F175" cm="1">
        <f t="array" ref="F175">_xlfn.IFS(C175&gt;=_xlfn.PERCENTILE.INC($C$2:$C$288,0.8),5,C175&gt;=_xlfn.PERCENTILE.INC($C$2:$C$288,0.6),4,C175&gt;=_xlfn.PERCENTILE.INC($C$2:$C$288,0.4),3,C175&gt;=_xlfn.PERCENTILE.INC($C$2:$C$288,0.2),2,C175&lt;_xlfn.PERCENTILE.INC($C$2:$C$288,0.2),1)</f>
        <v>3</v>
      </c>
      <c r="G175" cm="1">
        <f t="array" ref="G175">_xlfn.IFS(D175&gt;=_xlfn.PERCENTILE.INC($D$2:$D$288,0.8),5,D175&gt;=_xlfn.PERCENTILE.INC($D$2:$D$288,0.6),4,D175&gt;=_xlfn.PERCENTILE.INC($D$2:$D$288,0.4),3,D175&gt;=_xlfn.PERCENTILE.INC($D$2:$D$288,0.2),2,D175&lt;_xlfn.PERCENTILE.INC($D$2:$D$288,0.2),1)</f>
        <v>2</v>
      </c>
      <c r="H175">
        <f t="shared" si="2"/>
        <v>7</v>
      </c>
      <c r="I175" t="str" cm="1">
        <f t="array" ref="I175">_xlfn.IFS(H175&gt;=13,"Best Customers",H175&gt;=10,"Loyal Customers",H175&gt;=7,"Potential Loyal Customers",H175&gt;=4,"Need Attention",TRUE,"At Risk")</f>
        <v>Potential Loyal Customers</v>
      </c>
    </row>
    <row r="176" spans="1:9">
      <c r="A176" t="s">
        <v>618</v>
      </c>
      <c r="B176" s="4">
        <v>96.656990740739275</v>
      </c>
      <c r="C176">
        <v>2</v>
      </c>
      <c r="D176">
        <v>76.81</v>
      </c>
      <c r="E176" s="5" cm="1">
        <f t="array" ref="E176">_xlfn.IFS(B176&lt;=_xlfn.PERCENTILE.INC($B$2:$B$288,0.2),5,B176&lt;=_xlfn.PERCENTILE.INC($B$2:$B$288,0.4),4,B176&lt;=_xlfn.PERCENTILE.INC($B$2:$B$288,0.6),3,B176&lt;=_xlfn.PERCENTILE.INC($B$2:$B$288,0.8),2,B176&gt;_xlfn.PERCENTILE.INC($B$2:$B$288,0.8),1)</f>
        <v>3</v>
      </c>
      <c r="F176" cm="1">
        <f t="array" ref="F176">_xlfn.IFS(C176&gt;=_xlfn.PERCENTILE.INC($C$2:$C$288,0.8),5,C176&gt;=_xlfn.PERCENTILE.INC($C$2:$C$288,0.6),4,C176&gt;=_xlfn.PERCENTILE.INC($C$2:$C$288,0.4),3,C176&gt;=_xlfn.PERCENTILE.INC($C$2:$C$288,0.2),2,C176&lt;_xlfn.PERCENTILE.INC($C$2:$C$288,0.2),1)</f>
        <v>2</v>
      </c>
      <c r="G176" cm="1">
        <f t="array" ref="G176">_xlfn.IFS(D176&gt;=_xlfn.PERCENTILE.INC($D$2:$D$288,0.8),5,D176&gt;=_xlfn.PERCENTILE.INC($D$2:$D$288,0.6),4,D176&gt;=_xlfn.PERCENTILE.INC($D$2:$D$288,0.4),3,D176&gt;=_xlfn.PERCENTILE.INC($D$2:$D$288,0.2),2,D176&lt;_xlfn.PERCENTILE.INC($D$2:$D$288,0.2),1)</f>
        <v>4</v>
      </c>
      <c r="H176">
        <f t="shared" si="2"/>
        <v>9</v>
      </c>
      <c r="I176" t="str" cm="1">
        <f t="array" ref="I176">_xlfn.IFS(H176&gt;=13,"Best Customers",H176&gt;=10,"Loyal Customers",H176&gt;=7,"Potential Loyal Customers",H176&gt;=4,"Need Attention",TRUE,"At Risk")</f>
        <v>Potential Loyal Customers</v>
      </c>
    </row>
    <row r="177" spans="1:9">
      <c r="A177" t="s">
        <v>163</v>
      </c>
      <c r="B177" s="4">
        <v>169.65699074073927</v>
      </c>
      <c r="C177">
        <v>2</v>
      </c>
      <c r="D177">
        <v>9.69</v>
      </c>
      <c r="E177" s="5" cm="1">
        <f t="array" ref="E177">_xlfn.IFS(B177&lt;=_xlfn.PERCENTILE.INC($B$2:$B$288,0.2),5,B177&lt;=_xlfn.PERCENTILE.INC($B$2:$B$288,0.4),4,B177&lt;=_xlfn.PERCENTILE.INC($B$2:$B$288,0.6),3,B177&lt;=_xlfn.PERCENTILE.INC($B$2:$B$288,0.8),2,B177&gt;_xlfn.PERCENTILE.INC($B$2:$B$288,0.8),1)</f>
        <v>2</v>
      </c>
      <c r="F177" cm="1">
        <f t="array" ref="F177">_xlfn.IFS(C177&gt;=_xlfn.PERCENTILE.INC($C$2:$C$288,0.8),5,C177&gt;=_xlfn.PERCENTILE.INC($C$2:$C$288,0.6),4,C177&gt;=_xlfn.PERCENTILE.INC($C$2:$C$288,0.4),3,C177&gt;=_xlfn.PERCENTILE.INC($C$2:$C$288,0.2),2,C177&lt;_xlfn.PERCENTILE.INC($C$2:$C$288,0.2),1)</f>
        <v>2</v>
      </c>
      <c r="G177" cm="1">
        <f t="array" ref="G177">_xlfn.IFS(D177&gt;=_xlfn.PERCENTILE.INC($D$2:$D$288,0.8),5,D177&gt;=_xlfn.PERCENTILE.INC($D$2:$D$288,0.6),4,D177&gt;=_xlfn.PERCENTILE.INC($D$2:$D$288,0.4),3,D177&gt;=_xlfn.PERCENTILE.INC($D$2:$D$288,0.2),2,D177&lt;_xlfn.PERCENTILE.INC($D$2:$D$288,0.2),1)</f>
        <v>1</v>
      </c>
      <c r="H177">
        <f t="shared" si="2"/>
        <v>5</v>
      </c>
      <c r="I177" t="str" cm="1">
        <f t="array" ref="I177">_xlfn.IFS(H177&gt;=13,"Best Customers",H177&gt;=10,"Loyal Customers",H177&gt;=7,"Potential Loyal Customers",H177&gt;=4,"Need Attention",TRUE,"At Risk")</f>
        <v>Need Attention</v>
      </c>
    </row>
    <row r="178" spans="1:9">
      <c r="A178" t="s">
        <v>645</v>
      </c>
      <c r="B178" s="4">
        <v>30.656990740739275</v>
      </c>
      <c r="C178">
        <v>2</v>
      </c>
      <c r="D178">
        <v>32.299999999999997</v>
      </c>
      <c r="E178" s="5" cm="1">
        <f t="array" ref="E178">_xlfn.IFS(B178&lt;=_xlfn.PERCENTILE.INC($B$2:$B$288,0.2),5,B178&lt;=_xlfn.PERCENTILE.INC($B$2:$B$288,0.4),4,B178&lt;=_xlfn.PERCENTILE.INC($B$2:$B$288,0.6),3,B178&lt;=_xlfn.PERCENTILE.INC($B$2:$B$288,0.8),2,B178&gt;_xlfn.PERCENTILE.INC($B$2:$B$288,0.8),1)</f>
        <v>5</v>
      </c>
      <c r="F178" cm="1">
        <f t="array" ref="F178">_xlfn.IFS(C178&gt;=_xlfn.PERCENTILE.INC($C$2:$C$288,0.8),5,C178&gt;=_xlfn.PERCENTILE.INC($C$2:$C$288,0.6),4,C178&gt;=_xlfn.PERCENTILE.INC($C$2:$C$288,0.4),3,C178&gt;=_xlfn.PERCENTILE.INC($C$2:$C$288,0.2),2,C178&lt;_xlfn.PERCENTILE.INC($C$2:$C$288,0.2),1)</f>
        <v>2</v>
      </c>
      <c r="G178" cm="1">
        <f t="array" ref="G178">_xlfn.IFS(D178&gt;=_xlfn.PERCENTILE.INC($D$2:$D$288,0.8),5,D178&gt;=_xlfn.PERCENTILE.INC($D$2:$D$288,0.6),4,D178&gt;=_xlfn.PERCENTILE.INC($D$2:$D$288,0.4),3,D178&gt;=_xlfn.PERCENTILE.INC($D$2:$D$288,0.2),2,D178&lt;_xlfn.PERCENTILE.INC($D$2:$D$288,0.2),1)</f>
        <v>2</v>
      </c>
      <c r="H178">
        <f t="shared" si="2"/>
        <v>9</v>
      </c>
      <c r="I178" t="str" cm="1">
        <f t="array" ref="I178">_xlfn.IFS(H178&gt;=13,"Best Customers",H178&gt;=10,"Loyal Customers",H178&gt;=7,"Potential Loyal Customers",H178&gt;=4,"Need Attention",TRUE,"At Risk")</f>
        <v>Potential Loyal Customers</v>
      </c>
    </row>
    <row r="179" spans="1:9">
      <c r="A179" t="s">
        <v>752</v>
      </c>
      <c r="B179" s="4">
        <v>217.65699074073927</v>
      </c>
      <c r="C179">
        <v>2</v>
      </c>
      <c r="D179">
        <v>17.36</v>
      </c>
      <c r="E179" s="5" cm="1">
        <f t="array" ref="E179">_xlfn.IFS(B179&lt;=_xlfn.PERCENTILE.INC($B$2:$B$288,0.2),5,B179&lt;=_xlfn.PERCENTILE.INC($B$2:$B$288,0.4),4,B179&lt;=_xlfn.PERCENTILE.INC($B$2:$B$288,0.6),3,B179&lt;=_xlfn.PERCENTILE.INC($B$2:$B$288,0.8),2,B179&gt;_xlfn.PERCENTILE.INC($B$2:$B$288,0.8),1)</f>
        <v>1</v>
      </c>
      <c r="F179" cm="1">
        <f t="array" ref="F179">_xlfn.IFS(C179&gt;=_xlfn.PERCENTILE.INC($C$2:$C$288,0.8),5,C179&gt;=_xlfn.PERCENTILE.INC($C$2:$C$288,0.6),4,C179&gt;=_xlfn.PERCENTILE.INC($C$2:$C$288,0.4),3,C179&gt;=_xlfn.PERCENTILE.INC($C$2:$C$288,0.2),2,C179&lt;_xlfn.PERCENTILE.INC($C$2:$C$288,0.2),1)</f>
        <v>2</v>
      </c>
      <c r="G179" cm="1">
        <f t="array" ref="G179">_xlfn.IFS(D179&gt;=_xlfn.PERCENTILE.INC($D$2:$D$288,0.8),5,D179&gt;=_xlfn.PERCENTILE.INC($D$2:$D$288,0.6),4,D179&gt;=_xlfn.PERCENTILE.INC($D$2:$D$288,0.4),3,D179&gt;=_xlfn.PERCENTILE.INC($D$2:$D$288,0.2),2,D179&lt;_xlfn.PERCENTILE.INC($D$2:$D$288,0.2),1)</f>
        <v>1</v>
      </c>
      <c r="H179">
        <f t="shared" si="2"/>
        <v>4</v>
      </c>
      <c r="I179" t="str" cm="1">
        <f t="array" ref="I179">_xlfn.IFS(H179&gt;=13,"Best Customers",H179&gt;=10,"Loyal Customers",H179&gt;=7,"Potential Loyal Customers",H179&gt;=4,"Need Attention",TRUE,"At Risk")</f>
        <v>Need Attention</v>
      </c>
    </row>
    <row r="180" spans="1:9">
      <c r="A180" t="s">
        <v>514</v>
      </c>
      <c r="B180" s="4">
        <v>144.65699074073927</v>
      </c>
      <c r="C180">
        <v>2</v>
      </c>
      <c r="D180">
        <v>33.97</v>
      </c>
      <c r="E180" s="5" cm="1">
        <f t="array" ref="E180">_xlfn.IFS(B180&lt;=_xlfn.PERCENTILE.INC($B$2:$B$288,0.2),5,B180&lt;=_xlfn.PERCENTILE.INC($B$2:$B$288,0.4),4,B180&lt;=_xlfn.PERCENTILE.INC($B$2:$B$288,0.6),3,B180&lt;=_xlfn.PERCENTILE.INC($B$2:$B$288,0.8),2,B180&gt;_xlfn.PERCENTILE.INC($B$2:$B$288,0.8),1)</f>
        <v>2</v>
      </c>
      <c r="F180" cm="1">
        <f t="array" ref="F180">_xlfn.IFS(C180&gt;=_xlfn.PERCENTILE.INC($C$2:$C$288,0.8),5,C180&gt;=_xlfn.PERCENTILE.INC($C$2:$C$288,0.6),4,C180&gt;=_xlfn.PERCENTILE.INC($C$2:$C$288,0.4),3,C180&gt;=_xlfn.PERCENTILE.INC($C$2:$C$288,0.2),2,C180&lt;_xlfn.PERCENTILE.INC($C$2:$C$288,0.2),1)</f>
        <v>2</v>
      </c>
      <c r="G180" cm="1">
        <f t="array" ref="G180">_xlfn.IFS(D180&gt;=_xlfn.PERCENTILE.INC($D$2:$D$288,0.8),5,D180&gt;=_xlfn.PERCENTILE.INC($D$2:$D$288,0.6),4,D180&gt;=_xlfn.PERCENTILE.INC($D$2:$D$288,0.4),3,D180&gt;=_xlfn.PERCENTILE.INC($D$2:$D$288,0.2),2,D180&lt;_xlfn.PERCENTILE.INC($D$2:$D$288,0.2),1)</f>
        <v>2</v>
      </c>
      <c r="H180">
        <f t="shared" si="2"/>
        <v>6</v>
      </c>
      <c r="I180" t="str" cm="1">
        <f t="array" ref="I180">_xlfn.IFS(H180&gt;=13,"Best Customers",H180&gt;=10,"Loyal Customers",H180&gt;=7,"Potential Loyal Customers",H180&gt;=4,"Need Attention",TRUE,"At Risk")</f>
        <v>Need Attention</v>
      </c>
    </row>
    <row r="181" spans="1:9">
      <c r="A181" t="s">
        <v>396</v>
      </c>
      <c r="B181" s="4">
        <v>57.656990740739275</v>
      </c>
      <c r="C181">
        <v>5</v>
      </c>
      <c r="D181">
        <v>60.47</v>
      </c>
      <c r="E181" s="5" cm="1">
        <f t="array" ref="E181">_xlfn.IFS(B181&lt;=_xlfn.PERCENTILE.INC($B$2:$B$288,0.2),5,B181&lt;=_xlfn.PERCENTILE.INC($B$2:$B$288,0.4),4,B181&lt;=_xlfn.PERCENTILE.INC($B$2:$B$288,0.6),3,B181&lt;=_xlfn.PERCENTILE.INC($B$2:$B$288,0.8),2,B181&gt;_xlfn.PERCENTILE.INC($B$2:$B$288,0.8),1)</f>
        <v>4</v>
      </c>
      <c r="F181" cm="1">
        <f t="array" ref="F181">_xlfn.IFS(C181&gt;=_xlfn.PERCENTILE.INC($C$2:$C$288,0.8),5,C181&gt;=_xlfn.PERCENTILE.INC($C$2:$C$288,0.6),4,C181&gt;=_xlfn.PERCENTILE.INC($C$2:$C$288,0.4),3,C181&gt;=_xlfn.PERCENTILE.INC($C$2:$C$288,0.2),2,C181&lt;_xlfn.PERCENTILE.INC($C$2:$C$288,0.2),1)</f>
        <v>5</v>
      </c>
      <c r="G181" cm="1">
        <f t="array" ref="G181">_xlfn.IFS(D181&gt;=_xlfn.PERCENTILE.INC($D$2:$D$288,0.8),5,D181&gt;=_xlfn.PERCENTILE.INC($D$2:$D$288,0.6),4,D181&gt;=_xlfn.PERCENTILE.INC($D$2:$D$288,0.4),3,D181&gt;=_xlfn.PERCENTILE.INC($D$2:$D$288,0.2),2,D181&lt;_xlfn.PERCENTILE.INC($D$2:$D$288,0.2),1)</f>
        <v>3</v>
      </c>
      <c r="H181">
        <f t="shared" si="2"/>
        <v>12</v>
      </c>
      <c r="I181" t="str" cm="1">
        <f t="array" ref="I181">_xlfn.IFS(H181&gt;=13,"Best Customers",H181&gt;=10,"Loyal Customers",H181&gt;=7,"Potential Loyal Customers",H181&gt;=4,"Need Attention",TRUE,"At Risk")</f>
        <v>Loyal Customers</v>
      </c>
    </row>
    <row r="182" spans="1:9">
      <c r="A182" t="s">
        <v>296</v>
      </c>
      <c r="B182" s="4">
        <v>274.65699074073927</v>
      </c>
      <c r="C182">
        <v>1</v>
      </c>
      <c r="D182">
        <v>17.079999999999998</v>
      </c>
      <c r="E182" s="5" cm="1">
        <f t="array" ref="E182">_xlfn.IFS(B182&lt;=_xlfn.PERCENTILE.INC($B$2:$B$288,0.2),5,B182&lt;=_xlfn.PERCENTILE.INC($B$2:$B$288,0.4),4,B182&lt;=_xlfn.PERCENTILE.INC($B$2:$B$288,0.6),3,B182&lt;=_xlfn.PERCENTILE.INC($B$2:$B$288,0.8),2,B182&gt;_xlfn.PERCENTILE.INC($B$2:$B$288,0.8),1)</f>
        <v>1</v>
      </c>
      <c r="F182" cm="1">
        <f t="array" ref="F182">_xlfn.IFS(C182&gt;=_xlfn.PERCENTILE.INC($C$2:$C$288,0.8),5,C182&gt;=_xlfn.PERCENTILE.INC($C$2:$C$288,0.6),4,C182&gt;=_xlfn.PERCENTILE.INC($C$2:$C$288,0.4),3,C182&gt;=_xlfn.PERCENTILE.INC($C$2:$C$288,0.2),2,C182&lt;_xlfn.PERCENTILE.INC($C$2:$C$288,0.2),1)</f>
        <v>1</v>
      </c>
      <c r="G182" cm="1">
        <f t="array" ref="G182">_xlfn.IFS(D182&gt;=_xlfn.PERCENTILE.INC($D$2:$D$288,0.8),5,D182&gt;=_xlfn.PERCENTILE.INC($D$2:$D$288,0.6),4,D182&gt;=_xlfn.PERCENTILE.INC($D$2:$D$288,0.4),3,D182&gt;=_xlfn.PERCENTILE.INC($D$2:$D$288,0.2),2,D182&lt;_xlfn.PERCENTILE.INC($D$2:$D$288,0.2),1)</f>
        <v>1</v>
      </c>
      <c r="H182">
        <f t="shared" si="2"/>
        <v>3</v>
      </c>
      <c r="I182" t="str" cm="1">
        <f t="array" ref="I182">_xlfn.IFS(H182&gt;=13,"Best Customers",H182&gt;=10,"Loyal Customers",H182&gt;=7,"Potential Loyal Customers",H182&gt;=4,"Need Attention",TRUE,"At Risk")</f>
        <v>At Risk</v>
      </c>
    </row>
    <row r="183" spans="1:9">
      <c r="A183" t="s">
        <v>491</v>
      </c>
      <c r="B183" s="4">
        <v>188.65699074073927</v>
      </c>
      <c r="C183">
        <v>1</v>
      </c>
      <c r="D183">
        <v>33.44</v>
      </c>
      <c r="E183" s="5" cm="1">
        <f t="array" ref="E183">_xlfn.IFS(B183&lt;=_xlfn.PERCENTILE.INC($B$2:$B$288,0.2),5,B183&lt;=_xlfn.PERCENTILE.INC($B$2:$B$288,0.4),4,B183&lt;=_xlfn.PERCENTILE.INC($B$2:$B$288,0.6),3,B183&lt;=_xlfn.PERCENTILE.INC($B$2:$B$288,0.8),2,B183&gt;_xlfn.PERCENTILE.INC($B$2:$B$288,0.8),1)</f>
        <v>2</v>
      </c>
      <c r="F183" cm="1">
        <f t="array" ref="F183">_xlfn.IFS(C183&gt;=_xlfn.PERCENTILE.INC($C$2:$C$288,0.8),5,C183&gt;=_xlfn.PERCENTILE.INC($C$2:$C$288,0.6),4,C183&gt;=_xlfn.PERCENTILE.INC($C$2:$C$288,0.4),3,C183&gt;=_xlfn.PERCENTILE.INC($C$2:$C$288,0.2),2,C183&lt;_xlfn.PERCENTILE.INC($C$2:$C$288,0.2),1)</f>
        <v>1</v>
      </c>
      <c r="G183" cm="1">
        <f t="array" ref="G183">_xlfn.IFS(D183&gt;=_xlfn.PERCENTILE.INC($D$2:$D$288,0.8),5,D183&gt;=_xlfn.PERCENTILE.INC($D$2:$D$288,0.6),4,D183&gt;=_xlfn.PERCENTILE.INC($D$2:$D$288,0.4),3,D183&gt;=_xlfn.PERCENTILE.INC($D$2:$D$288,0.2),2,D183&lt;_xlfn.PERCENTILE.INC($D$2:$D$288,0.2),1)</f>
        <v>2</v>
      </c>
      <c r="H183">
        <f t="shared" si="2"/>
        <v>5</v>
      </c>
      <c r="I183" t="str" cm="1">
        <f t="array" ref="I183">_xlfn.IFS(H183&gt;=13,"Best Customers",H183&gt;=10,"Loyal Customers",H183&gt;=7,"Potential Loyal Customers",H183&gt;=4,"Need Attention",TRUE,"At Risk")</f>
        <v>Need Attention</v>
      </c>
    </row>
    <row r="184" spans="1:9">
      <c r="A184" t="s">
        <v>774</v>
      </c>
      <c r="B184" s="4">
        <v>80.656990740739275</v>
      </c>
      <c r="C184">
        <v>1</v>
      </c>
      <c r="D184">
        <v>16.14</v>
      </c>
      <c r="E184" s="5" cm="1">
        <f t="array" ref="E184">_xlfn.IFS(B184&lt;=_xlfn.PERCENTILE.INC($B$2:$B$288,0.2),5,B184&lt;=_xlfn.PERCENTILE.INC($B$2:$B$288,0.4),4,B184&lt;=_xlfn.PERCENTILE.INC($B$2:$B$288,0.6),3,B184&lt;=_xlfn.PERCENTILE.INC($B$2:$B$288,0.8),2,B184&gt;_xlfn.PERCENTILE.INC($B$2:$B$288,0.8),1)</f>
        <v>3</v>
      </c>
      <c r="F184" cm="1">
        <f t="array" ref="F184">_xlfn.IFS(C184&gt;=_xlfn.PERCENTILE.INC($C$2:$C$288,0.8),5,C184&gt;=_xlfn.PERCENTILE.INC($C$2:$C$288,0.6),4,C184&gt;=_xlfn.PERCENTILE.INC($C$2:$C$288,0.4),3,C184&gt;=_xlfn.PERCENTILE.INC($C$2:$C$288,0.2),2,C184&lt;_xlfn.PERCENTILE.INC($C$2:$C$288,0.2),1)</f>
        <v>1</v>
      </c>
      <c r="G184" cm="1">
        <f t="array" ref="G184">_xlfn.IFS(D184&gt;=_xlfn.PERCENTILE.INC($D$2:$D$288,0.8),5,D184&gt;=_xlfn.PERCENTILE.INC($D$2:$D$288,0.6),4,D184&gt;=_xlfn.PERCENTILE.INC($D$2:$D$288,0.4),3,D184&gt;=_xlfn.PERCENTILE.INC($D$2:$D$288,0.2),2,D184&lt;_xlfn.PERCENTILE.INC($D$2:$D$288,0.2),1)</f>
        <v>1</v>
      </c>
      <c r="H184">
        <f t="shared" si="2"/>
        <v>5</v>
      </c>
      <c r="I184" t="str" cm="1">
        <f t="array" ref="I184">_xlfn.IFS(H184&gt;=13,"Best Customers",H184&gt;=10,"Loyal Customers",H184&gt;=7,"Potential Loyal Customers",H184&gt;=4,"Need Attention",TRUE,"At Risk")</f>
        <v>Need Attention</v>
      </c>
    </row>
    <row r="185" spans="1:9">
      <c r="A185" t="s">
        <v>823</v>
      </c>
      <c r="B185" s="4">
        <v>63.656990740739275</v>
      </c>
      <c r="C185">
        <v>3</v>
      </c>
      <c r="D185">
        <v>33.65</v>
      </c>
      <c r="E185" s="5" cm="1">
        <f t="array" ref="E185">_xlfn.IFS(B185&lt;=_xlfn.PERCENTILE.INC($B$2:$B$288,0.2),5,B185&lt;=_xlfn.PERCENTILE.INC($B$2:$B$288,0.4),4,B185&lt;=_xlfn.PERCENTILE.INC($B$2:$B$288,0.6),3,B185&lt;=_xlfn.PERCENTILE.INC($B$2:$B$288,0.8),2,B185&gt;_xlfn.PERCENTILE.INC($B$2:$B$288,0.8),1)</f>
        <v>4</v>
      </c>
      <c r="F185" cm="1">
        <f t="array" ref="F185">_xlfn.IFS(C185&gt;=_xlfn.PERCENTILE.INC($C$2:$C$288,0.8),5,C185&gt;=_xlfn.PERCENTILE.INC($C$2:$C$288,0.6),4,C185&gt;=_xlfn.PERCENTILE.INC($C$2:$C$288,0.4),3,C185&gt;=_xlfn.PERCENTILE.INC($C$2:$C$288,0.2),2,C185&lt;_xlfn.PERCENTILE.INC($C$2:$C$288,0.2),1)</f>
        <v>3</v>
      </c>
      <c r="G185" cm="1">
        <f t="array" ref="G185">_xlfn.IFS(D185&gt;=_xlfn.PERCENTILE.INC($D$2:$D$288,0.8),5,D185&gt;=_xlfn.PERCENTILE.INC($D$2:$D$288,0.6),4,D185&gt;=_xlfn.PERCENTILE.INC($D$2:$D$288,0.4),3,D185&gt;=_xlfn.PERCENTILE.INC($D$2:$D$288,0.2),2,D185&lt;_xlfn.PERCENTILE.INC($D$2:$D$288,0.2),1)</f>
        <v>2</v>
      </c>
      <c r="H185">
        <f t="shared" si="2"/>
        <v>9</v>
      </c>
      <c r="I185" t="str" cm="1">
        <f t="array" ref="I185">_xlfn.IFS(H185&gt;=13,"Best Customers",H185&gt;=10,"Loyal Customers",H185&gt;=7,"Potential Loyal Customers",H185&gt;=4,"Need Attention",TRUE,"At Risk")</f>
        <v>Potential Loyal Customers</v>
      </c>
    </row>
    <row r="186" spans="1:9">
      <c r="A186" t="s">
        <v>500</v>
      </c>
      <c r="B186" s="4">
        <v>149.65699074073927</v>
      </c>
      <c r="C186">
        <v>4</v>
      </c>
      <c r="D186">
        <v>58.100000000000009</v>
      </c>
      <c r="E186" s="5" cm="1">
        <f t="array" ref="E186">_xlfn.IFS(B186&lt;=_xlfn.PERCENTILE.INC($B$2:$B$288,0.2),5,B186&lt;=_xlfn.PERCENTILE.INC($B$2:$B$288,0.4),4,B186&lt;=_xlfn.PERCENTILE.INC($B$2:$B$288,0.6),3,B186&lt;=_xlfn.PERCENTILE.INC($B$2:$B$288,0.8),2,B186&gt;_xlfn.PERCENTILE.INC($B$2:$B$288,0.8),1)</f>
        <v>2</v>
      </c>
      <c r="F186" cm="1">
        <f t="array" ref="F186">_xlfn.IFS(C186&gt;=_xlfn.PERCENTILE.INC($C$2:$C$288,0.8),5,C186&gt;=_xlfn.PERCENTILE.INC($C$2:$C$288,0.6),4,C186&gt;=_xlfn.PERCENTILE.INC($C$2:$C$288,0.4),3,C186&gt;=_xlfn.PERCENTILE.INC($C$2:$C$288,0.2),2,C186&lt;_xlfn.PERCENTILE.INC($C$2:$C$288,0.2),1)</f>
        <v>4</v>
      </c>
      <c r="G186" cm="1">
        <f t="array" ref="G186">_xlfn.IFS(D186&gt;=_xlfn.PERCENTILE.INC($D$2:$D$288,0.8),5,D186&gt;=_xlfn.PERCENTILE.INC($D$2:$D$288,0.6),4,D186&gt;=_xlfn.PERCENTILE.INC($D$2:$D$288,0.4),3,D186&gt;=_xlfn.PERCENTILE.INC($D$2:$D$288,0.2),2,D186&lt;_xlfn.PERCENTILE.INC($D$2:$D$288,0.2),1)</f>
        <v>3</v>
      </c>
      <c r="H186">
        <f t="shared" si="2"/>
        <v>9</v>
      </c>
      <c r="I186" t="str" cm="1">
        <f t="array" ref="I186">_xlfn.IFS(H186&gt;=13,"Best Customers",H186&gt;=10,"Loyal Customers",H186&gt;=7,"Potential Loyal Customers",H186&gt;=4,"Need Attention",TRUE,"At Risk")</f>
        <v>Potential Loyal Customers</v>
      </c>
    </row>
    <row r="187" spans="1:9">
      <c r="A187" t="s">
        <v>323</v>
      </c>
      <c r="B187" s="4">
        <v>239.65699074073927</v>
      </c>
      <c r="C187">
        <v>2</v>
      </c>
      <c r="D187">
        <v>19.810000000000002</v>
      </c>
      <c r="E187" s="5" cm="1">
        <f t="array" ref="E187">_xlfn.IFS(B187&lt;=_xlfn.PERCENTILE.INC($B$2:$B$288,0.2),5,B187&lt;=_xlfn.PERCENTILE.INC($B$2:$B$288,0.4),4,B187&lt;=_xlfn.PERCENTILE.INC($B$2:$B$288,0.6),3,B187&lt;=_xlfn.PERCENTILE.INC($B$2:$B$288,0.8),2,B187&gt;_xlfn.PERCENTILE.INC($B$2:$B$288,0.8),1)</f>
        <v>1</v>
      </c>
      <c r="F187" cm="1">
        <f t="array" ref="F187">_xlfn.IFS(C187&gt;=_xlfn.PERCENTILE.INC($C$2:$C$288,0.8),5,C187&gt;=_xlfn.PERCENTILE.INC($C$2:$C$288,0.6),4,C187&gt;=_xlfn.PERCENTILE.INC($C$2:$C$288,0.4),3,C187&gt;=_xlfn.PERCENTILE.INC($C$2:$C$288,0.2),2,C187&lt;_xlfn.PERCENTILE.INC($C$2:$C$288,0.2),1)</f>
        <v>2</v>
      </c>
      <c r="G187" cm="1">
        <f t="array" ref="G187">_xlfn.IFS(D187&gt;=_xlfn.PERCENTILE.INC($D$2:$D$288,0.8),5,D187&gt;=_xlfn.PERCENTILE.INC($D$2:$D$288,0.6),4,D187&gt;=_xlfn.PERCENTILE.INC($D$2:$D$288,0.4),3,D187&gt;=_xlfn.PERCENTILE.INC($D$2:$D$288,0.2),2,D187&lt;_xlfn.PERCENTILE.INC($D$2:$D$288,0.2),1)</f>
        <v>1</v>
      </c>
      <c r="H187">
        <f t="shared" si="2"/>
        <v>4</v>
      </c>
      <c r="I187" t="str" cm="1">
        <f t="array" ref="I187">_xlfn.IFS(H187&gt;=13,"Best Customers",H187&gt;=10,"Loyal Customers",H187&gt;=7,"Potential Loyal Customers",H187&gt;=4,"Need Attention",TRUE,"At Risk")</f>
        <v>Need Attention</v>
      </c>
    </row>
    <row r="188" spans="1:9">
      <c r="A188" t="s">
        <v>407</v>
      </c>
      <c r="B188" s="4">
        <v>25.656990740739275</v>
      </c>
      <c r="C188">
        <v>4</v>
      </c>
      <c r="D188">
        <v>52.35</v>
      </c>
      <c r="E188" s="5" cm="1">
        <f t="array" ref="E188">_xlfn.IFS(B188&lt;=_xlfn.PERCENTILE.INC($B$2:$B$288,0.2),5,B188&lt;=_xlfn.PERCENTILE.INC($B$2:$B$288,0.4),4,B188&lt;=_xlfn.PERCENTILE.INC($B$2:$B$288,0.6),3,B188&lt;=_xlfn.PERCENTILE.INC($B$2:$B$288,0.8),2,B188&gt;_xlfn.PERCENTILE.INC($B$2:$B$288,0.8),1)</f>
        <v>5</v>
      </c>
      <c r="F188" cm="1">
        <f t="array" ref="F188">_xlfn.IFS(C188&gt;=_xlfn.PERCENTILE.INC($C$2:$C$288,0.8),5,C188&gt;=_xlfn.PERCENTILE.INC($C$2:$C$288,0.6),4,C188&gt;=_xlfn.PERCENTILE.INC($C$2:$C$288,0.4),3,C188&gt;=_xlfn.PERCENTILE.INC($C$2:$C$288,0.2),2,C188&lt;_xlfn.PERCENTILE.INC($C$2:$C$288,0.2),1)</f>
        <v>4</v>
      </c>
      <c r="G188" cm="1">
        <f t="array" ref="G188">_xlfn.IFS(D188&gt;=_xlfn.PERCENTILE.INC($D$2:$D$288,0.8),5,D188&gt;=_xlfn.PERCENTILE.INC($D$2:$D$288,0.6),4,D188&gt;=_xlfn.PERCENTILE.INC($D$2:$D$288,0.4),3,D188&gt;=_xlfn.PERCENTILE.INC($D$2:$D$288,0.2),2,D188&lt;_xlfn.PERCENTILE.INC($D$2:$D$288,0.2),1)</f>
        <v>3</v>
      </c>
      <c r="H188">
        <f t="shared" si="2"/>
        <v>12</v>
      </c>
      <c r="I188" t="str" cm="1">
        <f t="array" ref="I188">_xlfn.IFS(H188&gt;=13,"Best Customers",H188&gt;=10,"Loyal Customers",H188&gt;=7,"Potential Loyal Customers",H188&gt;=4,"Need Attention",TRUE,"At Risk")</f>
        <v>Loyal Customers</v>
      </c>
    </row>
    <row r="189" spans="1:9">
      <c r="A189" t="s">
        <v>145</v>
      </c>
      <c r="B189" s="4">
        <v>165.65699074073927</v>
      </c>
      <c r="C189">
        <v>2</v>
      </c>
      <c r="D189">
        <v>23.36</v>
      </c>
      <c r="E189" s="5" cm="1">
        <f t="array" ref="E189">_xlfn.IFS(B189&lt;=_xlfn.PERCENTILE.INC($B$2:$B$288,0.2),5,B189&lt;=_xlfn.PERCENTILE.INC($B$2:$B$288,0.4),4,B189&lt;=_xlfn.PERCENTILE.INC($B$2:$B$288,0.6),3,B189&lt;=_xlfn.PERCENTILE.INC($B$2:$B$288,0.8),2,B189&gt;_xlfn.PERCENTILE.INC($B$2:$B$288,0.8),1)</f>
        <v>2</v>
      </c>
      <c r="F189" cm="1">
        <f t="array" ref="F189">_xlfn.IFS(C189&gt;=_xlfn.PERCENTILE.INC($C$2:$C$288,0.8),5,C189&gt;=_xlfn.PERCENTILE.INC($C$2:$C$288,0.6),4,C189&gt;=_xlfn.PERCENTILE.INC($C$2:$C$288,0.4),3,C189&gt;=_xlfn.PERCENTILE.INC($C$2:$C$288,0.2),2,C189&lt;_xlfn.PERCENTILE.INC($C$2:$C$288,0.2),1)</f>
        <v>2</v>
      </c>
      <c r="G189" cm="1">
        <f t="array" ref="G189">_xlfn.IFS(D189&gt;=_xlfn.PERCENTILE.INC($D$2:$D$288,0.8),5,D189&gt;=_xlfn.PERCENTILE.INC($D$2:$D$288,0.6),4,D189&gt;=_xlfn.PERCENTILE.INC($D$2:$D$288,0.4),3,D189&gt;=_xlfn.PERCENTILE.INC($D$2:$D$288,0.2),2,D189&lt;_xlfn.PERCENTILE.INC($D$2:$D$288,0.2),1)</f>
        <v>1</v>
      </c>
      <c r="H189">
        <f t="shared" si="2"/>
        <v>5</v>
      </c>
      <c r="I189" t="str" cm="1">
        <f t="array" ref="I189">_xlfn.IFS(H189&gt;=13,"Best Customers",H189&gt;=10,"Loyal Customers",H189&gt;=7,"Potential Loyal Customers",H189&gt;=4,"Need Attention",TRUE,"At Risk")</f>
        <v>Need Attention</v>
      </c>
    </row>
    <row r="190" spans="1:9">
      <c r="A190" t="s">
        <v>402</v>
      </c>
      <c r="B190" s="4">
        <v>142.65699074073927</v>
      </c>
      <c r="C190">
        <v>1</v>
      </c>
      <c r="D190">
        <v>4.26</v>
      </c>
      <c r="E190" s="5" cm="1">
        <f t="array" ref="E190">_xlfn.IFS(B190&lt;=_xlfn.PERCENTILE.INC($B$2:$B$288,0.2),5,B190&lt;=_xlfn.PERCENTILE.INC($B$2:$B$288,0.4),4,B190&lt;=_xlfn.PERCENTILE.INC($B$2:$B$288,0.6),3,B190&lt;=_xlfn.PERCENTILE.INC($B$2:$B$288,0.8),2,B190&gt;_xlfn.PERCENTILE.INC($B$2:$B$288,0.8),1)</f>
        <v>2</v>
      </c>
      <c r="F190" cm="1">
        <f t="array" ref="F190">_xlfn.IFS(C190&gt;=_xlfn.PERCENTILE.INC($C$2:$C$288,0.8),5,C190&gt;=_xlfn.PERCENTILE.INC($C$2:$C$288,0.6),4,C190&gt;=_xlfn.PERCENTILE.INC($C$2:$C$288,0.4),3,C190&gt;=_xlfn.PERCENTILE.INC($C$2:$C$288,0.2),2,C190&lt;_xlfn.PERCENTILE.INC($C$2:$C$288,0.2),1)</f>
        <v>1</v>
      </c>
      <c r="G190" cm="1">
        <f t="array" ref="G190">_xlfn.IFS(D190&gt;=_xlfn.PERCENTILE.INC($D$2:$D$288,0.8),5,D190&gt;=_xlfn.PERCENTILE.INC($D$2:$D$288,0.6),4,D190&gt;=_xlfn.PERCENTILE.INC($D$2:$D$288,0.4),3,D190&gt;=_xlfn.PERCENTILE.INC($D$2:$D$288,0.2),2,D190&lt;_xlfn.PERCENTILE.INC($D$2:$D$288,0.2),1)</f>
        <v>1</v>
      </c>
      <c r="H190">
        <f t="shared" si="2"/>
        <v>4</v>
      </c>
      <c r="I190" t="str" cm="1">
        <f t="array" ref="I190">_xlfn.IFS(H190&gt;=13,"Best Customers",H190&gt;=10,"Loyal Customers",H190&gt;=7,"Potential Loyal Customers",H190&gt;=4,"Need Attention",TRUE,"At Risk")</f>
        <v>Need Attention</v>
      </c>
    </row>
    <row r="191" spans="1:9">
      <c r="A191" t="s">
        <v>120</v>
      </c>
      <c r="B191" s="4">
        <v>59.656990740739275</v>
      </c>
      <c r="C191">
        <v>5</v>
      </c>
      <c r="D191">
        <v>61.879999999999995</v>
      </c>
      <c r="E191" s="5" cm="1">
        <f t="array" ref="E191">_xlfn.IFS(B191&lt;=_xlfn.PERCENTILE.INC($B$2:$B$288,0.2),5,B191&lt;=_xlfn.PERCENTILE.INC($B$2:$B$288,0.4),4,B191&lt;=_xlfn.PERCENTILE.INC($B$2:$B$288,0.6),3,B191&lt;=_xlfn.PERCENTILE.INC($B$2:$B$288,0.8),2,B191&gt;_xlfn.PERCENTILE.INC($B$2:$B$288,0.8),1)</f>
        <v>4</v>
      </c>
      <c r="F191" cm="1">
        <f t="array" ref="F191">_xlfn.IFS(C191&gt;=_xlfn.PERCENTILE.INC($C$2:$C$288,0.8),5,C191&gt;=_xlfn.PERCENTILE.INC($C$2:$C$288,0.6),4,C191&gt;=_xlfn.PERCENTILE.INC($C$2:$C$288,0.4),3,C191&gt;=_xlfn.PERCENTILE.INC($C$2:$C$288,0.2),2,C191&lt;_xlfn.PERCENTILE.INC($C$2:$C$288,0.2),1)</f>
        <v>5</v>
      </c>
      <c r="G191" cm="1">
        <f t="array" ref="G191">_xlfn.IFS(D191&gt;=_xlfn.PERCENTILE.INC($D$2:$D$288,0.8),5,D191&gt;=_xlfn.PERCENTILE.INC($D$2:$D$288,0.6),4,D191&gt;=_xlfn.PERCENTILE.INC($D$2:$D$288,0.4),3,D191&gt;=_xlfn.PERCENTILE.INC($D$2:$D$288,0.2),2,D191&lt;_xlfn.PERCENTILE.INC($D$2:$D$288,0.2),1)</f>
        <v>4</v>
      </c>
      <c r="H191">
        <f t="shared" si="2"/>
        <v>13</v>
      </c>
      <c r="I191" t="str" cm="1">
        <f t="array" ref="I191">_xlfn.IFS(H191&gt;=13,"Best Customers",H191&gt;=10,"Loyal Customers",H191&gt;=7,"Potential Loyal Customers",H191&gt;=4,"Need Attention",TRUE,"At Risk")</f>
        <v>Best Customers</v>
      </c>
    </row>
    <row r="192" spans="1:9">
      <c r="A192" t="s">
        <v>592</v>
      </c>
      <c r="B192" s="4">
        <v>70.656990740739275</v>
      </c>
      <c r="C192">
        <v>4</v>
      </c>
      <c r="D192">
        <v>41.640000000000008</v>
      </c>
      <c r="E192" s="5" cm="1">
        <f t="array" ref="E192">_xlfn.IFS(B192&lt;=_xlfn.PERCENTILE.INC($B$2:$B$288,0.2),5,B192&lt;=_xlfn.PERCENTILE.INC($B$2:$B$288,0.4),4,B192&lt;=_xlfn.PERCENTILE.INC($B$2:$B$288,0.6),3,B192&lt;=_xlfn.PERCENTILE.INC($B$2:$B$288,0.8),2,B192&gt;_xlfn.PERCENTILE.INC($B$2:$B$288,0.8),1)</f>
        <v>4</v>
      </c>
      <c r="F192" cm="1">
        <f t="array" ref="F192">_xlfn.IFS(C192&gt;=_xlfn.PERCENTILE.INC($C$2:$C$288,0.8),5,C192&gt;=_xlfn.PERCENTILE.INC($C$2:$C$288,0.6),4,C192&gt;=_xlfn.PERCENTILE.INC($C$2:$C$288,0.4),3,C192&gt;=_xlfn.PERCENTILE.INC($C$2:$C$288,0.2),2,C192&lt;_xlfn.PERCENTILE.INC($C$2:$C$288,0.2),1)</f>
        <v>4</v>
      </c>
      <c r="G192" cm="1">
        <f t="array" ref="G192">_xlfn.IFS(D192&gt;=_xlfn.PERCENTILE.INC($D$2:$D$288,0.8),5,D192&gt;=_xlfn.PERCENTILE.INC($D$2:$D$288,0.6),4,D192&gt;=_xlfn.PERCENTILE.INC($D$2:$D$288,0.4),3,D192&gt;=_xlfn.PERCENTILE.INC($D$2:$D$288,0.2),2,D192&lt;_xlfn.PERCENTILE.INC($D$2:$D$288,0.2),1)</f>
        <v>2</v>
      </c>
      <c r="H192">
        <f t="shared" si="2"/>
        <v>10</v>
      </c>
      <c r="I192" t="str" cm="1">
        <f t="array" ref="I192">_xlfn.IFS(H192&gt;=13,"Best Customers",H192&gt;=10,"Loyal Customers",H192&gt;=7,"Potential Loyal Customers",H192&gt;=4,"Need Attention",TRUE,"At Risk")</f>
        <v>Loyal Customers</v>
      </c>
    </row>
    <row r="193" spans="1:9">
      <c r="A193" t="s">
        <v>197</v>
      </c>
      <c r="B193" s="4">
        <v>22.656990740739275</v>
      </c>
      <c r="C193">
        <v>2</v>
      </c>
      <c r="D193">
        <v>45.68</v>
      </c>
      <c r="E193" s="5" cm="1">
        <f t="array" ref="E193">_xlfn.IFS(B193&lt;=_xlfn.PERCENTILE.INC($B$2:$B$288,0.2),5,B193&lt;=_xlfn.PERCENTILE.INC($B$2:$B$288,0.4),4,B193&lt;=_xlfn.PERCENTILE.INC($B$2:$B$288,0.6),3,B193&lt;=_xlfn.PERCENTILE.INC($B$2:$B$288,0.8),2,B193&gt;_xlfn.PERCENTILE.INC($B$2:$B$288,0.8),1)</f>
        <v>5</v>
      </c>
      <c r="F193" cm="1">
        <f t="array" ref="F193">_xlfn.IFS(C193&gt;=_xlfn.PERCENTILE.INC($C$2:$C$288,0.8),5,C193&gt;=_xlfn.PERCENTILE.INC($C$2:$C$288,0.6),4,C193&gt;=_xlfn.PERCENTILE.INC($C$2:$C$288,0.4),3,C193&gt;=_xlfn.PERCENTILE.INC($C$2:$C$288,0.2),2,C193&lt;_xlfn.PERCENTILE.INC($C$2:$C$288,0.2),1)</f>
        <v>2</v>
      </c>
      <c r="G193" cm="1">
        <f t="array" ref="G193">_xlfn.IFS(D193&gt;=_xlfn.PERCENTILE.INC($D$2:$D$288,0.8),5,D193&gt;=_xlfn.PERCENTILE.INC($D$2:$D$288,0.6),4,D193&gt;=_xlfn.PERCENTILE.INC($D$2:$D$288,0.4),3,D193&gt;=_xlfn.PERCENTILE.INC($D$2:$D$288,0.2),2,D193&lt;_xlfn.PERCENTILE.INC($D$2:$D$288,0.2),1)</f>
        <v>2</v>
      </c>
      <c r="H193">
        <f t="shared" si="2"/>
        <v>9</v>
      </c>
      <c r="I193" t="str" cm="1">
        <f t="array" ref="I193">_xlfn.IFS(H193&gt;=13,"Best Customers",H193&gt;=10,"Loyal Customers",H193&gt;=7,"Potential Loyal Customers",H193&gt;=4,"Need Attention",TRUE,"At Risk")</f>
        <v>Potential Loyal Customers</v>
      </c>
    </row>
    <row r="194" spans="1:9">
      <c r="A194" t="s">
        <v>446</v>
      </c>
      <c r="B194" s="4">
        <v>36.656990740739275</v>
      </c>
      <c r="C194">
        <v>3</v>
      </c>
      <c r="D194">
        <v>26.67</v>
      </c>
      <c r="E194" s="5" cm="1">
        <f t="array" ref="E194">_xlfn.IFS(B194&lt;=_xlfn.PERCENTILE.INC($B$2:$B$288,0.2),5,B194&lt;=_xlfn.PERCENTILE.INC($B$2:$B$288,0.4),4,B194&lt;=_xlfn.PERCENTILE.INC($B$2:$B$288,0.6),3,B194&lt;=_xlfn.PERCENTILE.INC($B$2:$B$288,0.8),2,B194&gt;_xlfn.PERCENTILE.INC($B$2:$B$288,0.8),1)</f>
        <v>5</v>
      </c>
      <c r="F194" cm="1">
        <f t="array" ref="F194">_xlfn.IFS(C194&gt;=_xlfn.PERCENTILE.INC($C$2:$C$288,0.8),5,C194&gt;=_xlfn.PERCENTILE.INC($C$2:$C$288,0.6),4,C194&gt;=_xlfn.PERCENTILE.INC($C$2:$C$288,0.4),3,C194&gt;=_xlfn.PERCENTILE.INC($C$2:$C$288,0.2),2,C194&lt;_xlfn.PERCENTILE.INC($C$2:$C$288,0.2),1)</f>
        <v>3</v>
      </c>
      <c r="G194" cm="1">
        <f t="array" ref="G194">_xlfn.IFS(D194&gt;=_xlfn.PERCENTILE.INC($D$2:$D$288,0.8),5,D194&gt;=_xlfn.PERCENTILE.INC($D$2:$D$288,0.6),4,D194&gt;=_xlfn.PERCENTILE.INC($D$2:$D$288,0.4),3,D194&gt;=_xlfn.PERCENTILE.INC($D$2:$D$288,0.2),2,D194&lt;_xlfn.PERCENTILE.INC($D$2:$D$288,0.2),1)</f>
        <v>1</v>
      </c>
      <c r="H194">
        <f t="shared" si="2"/>
        <v>9</v>
      </c>
      <c r="I194" t="str" cm="1">
        <f t="array" ref="I194">_xlfn.IFS(H194&gt;=13,"Best Customers",H194&gt;=10,"Loyal Customers",H194&gt;=7,"Potential Loyal Customers",H194&gt;=4,"Need Attention",TRUE,"At Risk")</f>
        <v>Potential Loyal Customers</v>
      </c>
    </row>
    <row r="195" spans="1:9">
      <c r="A195" t="s">
        <v>246</v>
      </c>
      <c r="B195" s="4">
        <v>30.656990740739275</v>
      </c>
      <c r="C195">
        <v>5</v>
      </c>
      <c r="D195">
        <v>85.24</v>
      </c>
      <c r="E195" s="5" cm="1">
        <f t="array" ref="E195">_xlfn.IFS(B195&lt;=_xlfn.PERCENTILE.INC($B$2:$B$288,0.2),5,B195&lt;=_xlfn.PERCENTILE.INC($B$2:$B$288,0.4),4,B195&lt;=_xlfn.PERCENTILE.INC($B$2:$B$288,0.6),3,B195&lt;=_xlfn.PERCENTILE.INC($B$2:$B$288,0.8),2,B195&gt;_xlfn.PERCENTILE.INC($B$2:$B$288,0.8),1)</f>
        <v>5</v>
      </c>
      <c r="F195" cm="1">
        <f t="array" ref="F195">_xlfn.IFS(C195&gt;=_xlfn.PERCENTILE.INC($C$2:$C$288,0.8),5,C195&gt;=_xlfn.PERCENTILE.INC($C$2:$C$288,0.6),4,C195&gt;=_xlfn.PERCENTILE.INC($C$2:$C$288,0.4),3,C195&gt;=_xlfn.PERCENTILE.INC($C$2:$C$288,0.2),2,C195&lt;_xlfn.PERCENTILE.INC($C$2:$C$288,0.2),1)</f>
        <v>5</v>
      </c>
      <c r="G195" cm="1">
        <f t="array" ref="G195">_xlfn.IFS(D195&gt;=_xlfn.PERCENTILE.INC($D$2:$D$288,0.8),5,D195&gt;=_xlfn.PERCENTILE.INC($D$2:$D$288,0.6),4,D195&gt;=_xlfn.PERCENTILE.INC($D$2:$D$288,0.4),3,D195&gt;=_xlfn.PERCENTILE.INC($D$2:$D$288,0.2),2,D195&lt;_xlfn.PERCENTILE.INC($D$2:$D$288,0.2),1)</f>
        <v>4</v>
      </c>
      <c r="H195">
        <f t="shared" ref="H195:H258" si="3">E195+F195+G195</f>
        <v>14</v>
      </c>
      <c r="I195" t="str" cm="1">
        <f t="array" ref="I195">_xlfn.IFS(H195&gt;=13,"Best Customers",H195&gt;=10,"Loyal Customers",H195&gt;=7,"Potential Loyal Customers",H195&gt;=4,"Need Attention",TRUE,"At Risk")</f>
        <v>Best Customers</v>
      </c>
    </row>
    <row r="196" spans="1:9">
      <c r="A196" t="s">
        <v>1218</v>
      </c>
      <c r="B196" s="4">
        <v>273.65699074073927</v>
      </c>
      <c r="C196">
        <v>1</v>
      </c>
      <c r="D196">
        <v>8.8000000000000007</v>
      </c>
      <c r="E196" s="5" cm="1">
        <f t="array" ref="E196">_xlfn.IFS(B196&lt;=_xlfn.PERCENTILE.INC($B$2:$B$288,0.2),5,B196&lt;=_xlfn.PERCENTILE.INC($B$2:$B$288,0.4),4,B196&lt;=_xlfn.PERCENTILE.INC($B$2:$B$288,0.6),3,B196&lt;=_xlfn.PERCENTILE.INC($B$2:$B$288,0.8),2,B196&gt;_xlfn.PERCENTILE.INC($B$2:$B$288,0.8),1)</f>
        <v>1</v>
      </c>
      <c r="F196" cm="1">
        <f t="array" ref="F196">_xlfn.IFS(C196&gt;=_xlfn.PERCENTILE.INC($C$2:$C$288,0.8),5,C196&gt;=_xlfn.PERCENTILE.INC($C$2:$C$288,0.6),4,C196&gt;=_xlfn.PERCENTILE.INC($C$2:$C$288,0.4),3,C196&gt;=_xlfn.PERCENTILE.INC($C$2:$C$288,0.2),2,C196&lt;_xlfn.PERCENTILE.INC($C$2:$C$288,0.2),1)</f>
        <v>1</v>
      </c>
      <c r="G196" cm="1">
        <f t="array" ref="G196">_xlfn.IFS(D196&gt;=_xlfn.PERCENTILE.INC($D$2:$D$288,0.8),5,D196&gt;=_xlfn.PERCENTILE.INC($D$2:$D$288,0.6),4,D196&gt;=_xlfn.PERCENTILE.INC($D$2:$D$288,0.4),3,D196&gt;=_xlfn.PERCENTILE.INC($D$2:$D$288,0.2),2,D196&lt;_xlfn.PERCENTILE.INC($D$2:$D$288,0.2),1)</f>
        <v>1</v>
      </c>
      <c r="H196">
        <f t="shared" si="3"/>
        <v>3</v>
      </c>
      <c r="I196" t="str" cm="1">
        <f t="array" ref="I196">_xlfn.IFS(H196&gt;=13,"Best Customers",H196&gt;=10,"Loyal Customers",H196&gt;=7,"Potential Loyal Customers",H196&gt;=4,"Need Attention",TRUE,"At Risk")</f>
        <v>At Risk</v>
      </c>
    </row>
    <row r="197" spans="1:9">
      <c r="A197" t="s">
        <v>836</v>
      </c>
      <c r="B197" s="4">
        <v>34.656990740739275</v>
      </c>
      <c r="C197">
        <v>3</v>
      </c>
      <c r="D197">
        <v>20.82</v>
      </c>
      <c r="E197" s="5" cm="1">
        <f t="array" ref="E197">_xlfn.IFS(B197&lt;=_xlfn.PERCENTILE.INC($B$2:$B$288,0.2),5,B197&lt;=_xlfn.PERCENTILE.INC($B$2:$B$288,0.4),4,B197&lt;=_xlfn.PERCENTILE.INC($B$2:$B$288,0.6),3,B197&lt;=_xlfn.PERCENTILE.INC($B$2:$B$288,0.8),2,B197&gt;_xlfn.PERCENTILE.INC($B$2:$B$288,0.8),1)</f>
        <v>5</v>
      </c>
      <c r="F197" cm="1">
        <f t="array" ref="F197">_xlfn.IFS(C197&gt;=_xlfn.PERCENTILE.INC($C$2:$C$288,0.8),5,C197&gt;=_xlfn.PERCENTILE.INC($C$2:$C$288,0.6),4,C197&gt;=_xlfn.PERCENTILE.INC($C$2:$C$288,0.4),3,C197&gt;=_xlfn.PERCENTILE.INC($C$2:$C$288,0.2),2,C197&lt;_xlfn.PERCENTILE.INC($C$2:$C$288,0.2),1)</f>
        <v>3</v>
      </c>
      <c r="G197" cm="1">
        <f t="array" ref="G197">_xlfn.IFS(D197&gt;=_xlfn.PERCENTILE.INC($D$2:$D$288,0.8),5,D197&gt;=_xlfn.PERCENTILE.INC($D$2:$D$288,0.6),4,D197&gt;=_xlfn.PERCENTILE.INC($D$2:$D$288,0.4),3,D197&gt;=_xlfn.PERCENTILE.INC($D$2:$D$288,0.2),2,D197&lt;_xlfn.PERCENTILE.INC($D$2:$D$288,0.2),1)</f>
        <v>1</v>
      </c>
      <c r="H197">
        <f t="shared" si="3"/>
        <v>9</v>
      </c>
      <c r="I197" t="str" cm="1">
        <f t="array" ref="I197">_xlfn.IFS(H197&gt;=13,"Best Customers",H197&gt;=10,"Loyal Customers",H197&gt;=7,"Potential Loyal Customers",H197&gt;=4,"Need Attention",TRUE,"At Risk")</f>
        <v>Potential Loyal Customers</v>
      </c>
    </row>
    <row r="198" spans="1:9">
      <c r="A198" t="s">
        <v>918</v>
      </c>
      <c r="B198" s="4">
        <v>140.65699074073927</v>
      </c>
      <c r="C198">
        <v>1</v>
      </c>
      <c r="D198">
        <v>5.19</v>
      </c>
      <c r="E198" s="5" cm="1">
        <f t="array" ref="E198">_xlfn.IFS(B198&lt;=_xlfn.PERCENTILE.INC($B$2:$B$288,0.2),5,B198&lt;=_xlfn.PERCENTILE.INC($B$2:$B$288,0.4),4,B198&lt;=_xlfn.PERCENTILE.INC($B$2:$B$288,0.6),3,B198&lt;=_xlfn.PERCENTILE.INC($B$2:$B$288,0.8),2,B198&gt;_xlfn.PERCENTILE.INC($B$2:$B$288,0.8),1)</f>
        <v>2</v>
      </c>
      <c r="F198" cm="1">
        <f t="array" ref="F198">_xlfn.IFS(C198&gt;=_xlfn.PERCENTILE.INC($C$2:$C$288,0.8),5,C198&gt;=_xlfn.PERCENTILE.INC($C$2:$C$288,0.6),4,C198&gt;=_xlfn.PERCENTILE.INC($C$2:$C$288,0.4),3,C198&gt;=_xlfn.PERCENTILE.INC($C$2:$C$288,0.2),2,C198&lt;_xlfn.PERCENTILE.INC($C$2:$C$288,0.2),1)</f>
        <v>1</v>
      </c>
      <c r="G198" cm="1">
        <f t="array" ref="G198">_xlfn.IFS(D198&gt;=_xlfn.PERCENTILE.INC($D$2:$D$288,0.8),5,D198&gt;=_xlfn.PERCENTILE.INC($D$2:$D$288,0.6),4,D198&gt;=_xlfn.PERCENTILE.INC($D$2:$D$288,0.4),3,D198&gt;=_xlfn.PERCENTILE.INC($D$2:$D$288,0.2),2,D198&lt;_xlfn.PERCENTILE.INC($D$2:$D$288,0.2),1)</f>
        <v>1</v>
      </c>
      <c r="H198">
        <f t="shared" si="3"/>
        <v>4</v>
      </c>
      <c r="I198" t="str" cm="1">
        <f t="array" ref="I198">_xlfn.IFS(H198&gt;=13,"Best Customers",H198&gt;=10,"Loyal Customers",H198&gt;=7,"Potential Loyal Customers",H198&gt;=4,"Need Attention",TRUE,"At Risk")</f>
        <v>Need Attention</v>
      </c>
    </row>
    <row r="199" spans="1:9">
      <c r="A199" t="s">
        <v>793</v>
      </c>
      <c r="B199" s="4">
        <v>200.65699074073927</v>
      </c>
      <c r="C199">
        <v>3</v>
      </c>
      <c r="D199">
        <v>63.080000000000005</v>
      </c>
      <c r="E199" s="5" cm="1">
        <f t="array" ref="E199">_xlfn.IFS(B199&lt;=_xlfn.PERCENTILE.INC($B$2:$B$288,0.2),5,B199&lt;=_xlfn.PERCENTILE.INC($B$2:$B$288,0.4),4,B199&lt;=_xlfn.PERCENTILE.INC($B$2:$B$288,0.6),3,B199&lt;=_xlfn.PERCENTILE.INC($B$2:$B$288,0.8),2,B199&gt;_xlfn.PERCENTILE.INC($B$2:$B$288,0.8),1)</f>
        <v>1</v>
      </c>
      <c r="F199" cm="1">
        <f t="array" ref="F199">_xlfn.IFS(C199&gt;=_xlfn.PERCENTILE.INC($C$2:$C$288,0.8),5,C199&gt;=_xlfn.PERCENTILE.INC($C$2:$C$288,0.6),4,C199&gt;=_xlfn.PERCENTILE.INC($C$2:$C$288,0.4),3,C199&gt;=_xlfn.PERCENTILE.INC($C$2:$C$288,0.2),2,C199&lt;_xlfn.PERCENTILE.INC($C$2:$C$288,0.2),1)</f>
        <v>3</v>
      </c>
      <c r="G199" cm="1">
        <f t="array" ref="G199">_xlfn.IFS(D199&gt;=_xlfn.PERCENTILE.INC($D$2:$D$288,0.8),5,D199&gt;=_xlfn.PERCENTILE.INC($D$2:$D$288,0.6),4,D199&gt;=_xlfn.PERCENTILE.INC($D$2:$D$288,0.4),3,D199&gt;=_xlfn.PERCENTILE.INC($D$2:$D$288,0.2),2,D199&lt;_xlfn.PERCENTILE.INC($D$2:$D$288,0.2),1)</f>
        <v>4</v>
      </c>
      <c r="H199">
        <f t="shared" si="3"/>
        <v>8</v>
      </c>
      <c r="I199" t="str" cm="1">
        <f t="array" ref="I199">_xlfn.IFS(H199&gt;=13,"Best Customers",H199&gt;=10,"Loyal Customers",H199&gt;=7,"Potential Loyal Customers",H199&gt;=4,"Need Attention",TRUE,"At Risk")</f>
        <v>Potential Loyal Customers</v>
      </c>
    </row>
    <row r="200" spans="1:9">
      <c r="A200" t="s">
        <v>1012</v>
      </c>
      <c r="B200" s="4">
        <v>41.656990740739275</v>
      </c>
      <c r="C200">
        <v>2</v>
      </c>
      <c r="D200">
        <v>22.57</v>
      </c>
      <c r="E200" s="5" cm="1">
        <f t="array" ref="E200">_xlfn.IFS(B200&lt;=_xlfn.PERCENTILE.INC($B$2:$B$288,0.2),5,B200&lt;=_xlfn.PERCENTILE.INC($B$2:$B$288,0.4),4,B200&lt;=_xlfn.PERCENTILE.INC($B$2:$B$288,0.6),3,B200&lt;=_xlfn.PERCENTILE.INC($B$2:$B$288,0.8),2,B200&gt;_xlfn.PERCENTILE.INC($B$2:$B$288,0.8),1)</f>
        <v>4</v>
      </c>
      <c r="F200" cm="1">
        <f t="array" ref="F200">_xlfn.IFS(C200&gt;=_xlfn.PERCENTILE.INC($C$2:$C$288,0.8),5,C200&gt;=_xlfn.PERCENTILE.INC($C$2:$C$288,0.6),4,C200&gt;=_xlfn.PERCENTILE.INC($C$2:$C$288,0.4),3,C200&gt;=_xlfn.PERCENTILE.INC($C$2:$C$288,0.2),2,C200&lt;_xlfn.PERCENTILE.INC($C$2:$C$288,0.2),1)</f>
        <v>2</v>
      </c>
      <c r="G200" cm="1">
        <f t="array" ref="G200">_xlfn.IFS(D200&gt;=_xlfn.PERCENTILE.INC($D$2:$D$288,0.8),5,D200&gt;=_xlfn.PERCENTILE.INC($D$2:$D$288,0.6),4,D200&gt;=_xlfn.PERCENTILE.INC($D$2:$D$288,0.4),3,D200&gt;=_xlfn.PERCENTILE.INC($D$2:$D$288,0.2),2,D200&lt;_xlfn.PERCENTILE.INC($D$2:$D$288,0.2),1)</f>
        <v>1</v>
      </c>
      <c r="H200">
        <f t="shared" si="3"/>
        <v>7</v>
      </c>
      <c r="I200" t="str" cm="1">
        <f t="array" ref="I200">_xlfn.IFS(H200&gt;=13,"Best Customers",H200&gt;=10,"Loyal Customers",H200&gt;=7,"Potential Loyal Customers",H200&gt;=4,"Need Attention",TRUE,"At Risk")</f>
        <v>Potential Loyal Customers</v>
      </c>
    </row>
    <row r="201" spans="1:9">
      <c r="A201" t="s">
        <v>885</v>
      </c>
      <c r="B201" s="4">
        <v>162.65699074073927</v>
      </c>
      <c r="C201">
        <v>3</v>
      </c>
      <c r="D201">
        <v>61.43</v>
      </c>
      <c r="E201" s="5" cm="1">
        <f t="array" ref="E201">_xlfn.IFS(B201&lt;=_xlfn.PERCENTILE.INC($B$2:$B$288,0.2),5,B201&lt;=_xlfn.PERCENTILE.INC($B$2:$B$288,0.4),4,B201&lt;=_xlfn.PERCENTILE.INC($B$2:$B$288,0.6),3,B201&lt;=_xlfn.PERCENTILE.INC($B$2:$B$288,0.8),2,B201&gt;_xlfn.PERCENTILE.INC($B$2:$B$288,0.8),1)</f>
        <v>2</v>
      </c>
      <c r="F201" cm="1">
        <f t="array" ref="F201">_xlfn.IFS(C201&gt;=_xlfn.PERCENTILE.INC($C$2:$C$288,0.8),5,C201&gt;=_xlfn.PERCENTILE.INC($C$2:$C$288,0.6),4,C201&gt;=_xlfn.PERCENTILE.INC($C$2:$C$288,0.4),3,C201&gt;=_xlfn.PERCENTILE.INC($C$2:$C$288,0.2),2,C201&lt;_xlfn.PERCENTILE.INC($C$2:$C$288,0.2),1)</f>
        <v>3</v>
      </c>
      <c r="G201" cm="1">
        <f t="array" ref="G201">_xlfn.IFS(D201&gt;=_xlfn.PERCENTILE.INC($D$2:$D$288,0.8),5,D201&gt;=_xlfn.PERCENTILE.INC($D$2:$D$288,0.6),4,D201&gt;=_xlfn.PERCENTILE.INC($D$2:$D$288,0.4),3,D201&gt;=_xlfn.PERCENTILE.INC($D$2:$D$288,0.2),2,D201&lt;_xlfn.PERCENTILE.INC($D$2:$D$288,0.2),1)</f>
        <v>4</v>
      </c>
      <c r="H201">
        <f t="shared" si="3"/>
        <v>9</v>
      </c>
      <c r="I201" t="str" cm="1">
        <f t="array" ref="I201">_xlfn.IFS(H201&gt;=13,"Best Customers",H201&gt;=10,"Loyal Customers",H201&gt;=7,"Potential Loyal Customers",H201&gt;=4,"Need Attention",TRUE,"At Risk")</f>
        <v>Potential Loyal Customers</v>
      </c>
    </row>
    <row r="202" spans="1:9">
      <c r="A202" t="s">
        <v>434</v>
      </c>
      <c r="B202" s="4">
        <v>162.65699074073927</v>
      </c>
      <c r="C202">
        <v>3</v>
      </c>
      <c r="D202">
        <v>41</v>
      </c>
      <c r="E202" s="5" cm="1">
        <f t="array" ref="E202">_xlfn.IFS(B202&lt;=_xlfn.PERCENTILE.INC($B$2:$B$288,0.2),5,B202&lt;=_xlfn.PERCENTILE.INC($B$2:$B$288,0.4),4,B202&lt;=_xlfn.PERCENTILE.INC($B$2:$B$288,0.6),3,B202&lt;=_xlfn.PERCENTILE.INC($B$2:$B$288,0.8),2,B202&gt;_xlfn.PERCENTILE.INC($B$2:$B$288,0.8),1)</f>
        <v>2</v>
      </c>
      <c r="F202" cm="1">
        <f t="array" ref="F202">_xlfn.IFS(C202&gt;=_xlfn.PERCENTILE.INC($C$2:$C$288,0.8),5,C202&gt;=_xlfn.PERCENTILE.INC($C$2:$C$288,0.6),4,C202&gt;=_xlfn.PERCENTILE.INC($C$2:$C$288,0.4),3,C202&gt;=_xlfn.PERCENTILE.INC($C$2:$C$288,0.2),2,C202&lt;_xlfn.PERCENTILE.INC($C$2:$C$288,0.2),1)</f>
        <v>3</v>
      </c>
      <c r="G202" cm="1">
        <f t="array" ref="G202">_xlfn.IFS(D202&gt;=_xlfn.PERCENTILE.INC($D$2:$D$288,0.8),5,D202&gt;=_xlfn.PERCENTILE.INC($D$2:$D$288,0.6),4,D202&gt;=_xlfn.PERCENTILE.INC($D$2:$D$288,0.4),3,D202&gt;=_xlfn.PERCENTILE.INC($D$2:$D$288,0.2),2,D202&lt;_xlfn.PERCENTILE.INC($D$2:$D$288,0.2),1)</f>
        <v>2</v>
      </c>
      <c r="H202">
        <f t="shared" si="3"/>
        <v>7</v>
      </c>
      <c r="I202" t="str" cm="1">
        <f t="array" ref="I202">_xlfn.IFS(H202&gt;=13,"Best Customers",H202&gt;=10,"Loyal Customers",H202&gt;=7,"Potential Loyal Customers",H202&gt;=4,"Need Attention",TRUE,"At Risk")</f>
        <v>Potential Loyal Customers</v>
      </c>
    </row>
    <row r="203" spans="1:9">
      <c r="A203" t="s">
        <v>205</v>
      </c>
      <c r="B203" s="4">
        <v>195.65699074073927</v>
      </c>
      <c r="C203">
        <v>4</v>
      </c>
      <c r="D203">
        <v>47.959999999999994</v>
      </c>
      <c r="E203" s="5" cm="1">
        <f t="array" ref="E203">_xlfn.IFS(B203&lt;=_xlfn.PERCENTILE.INC($B$2:$B$288,0.2),5,B203&lt;=_xlfn.PERCENTILE.INC($B$2:$B$288,0.4),4,B203&lt;=_xlfn.PERCENTILE.INC($B$2:$B$288,0.6),3,B203&lt;=_xlfn.PERCENTILE.INC($B$2:$B$288,0.8),2,B203&gt;_xlfn.PERCENTILE.INC($B$2:$B$288,0.8),1)</f>
        <v>1</v>
      </c>
      <c r="F203" cm="1">
        <f t="array" ref="F203">_xlfn.IFS(C203&gt;=_xlfn.PERCENTILE.INC($C$2:$C$288,0.8),5,C203&gt;=_xlfn.PERCENTILE.INC($C$2:$C$288,0.6),4,C203&gt;=_xlfn.PERCENTILE.INC($C$2:$C$288,0.4),3,C203&gt;=_xlfn.PERCENTILE.INC($C$2:$C$288,0.2),2,C203&lt;_xlfn.PERCENTILE.INC($C$2:$C$288,0.2),1)</f>
        <v>4</v>
      </c>
      <c r="G203" cm="1">
        <f t="array" ref="G203">_xlfn.IFS(D203&gt;=_xlfn.PERCENTILE.INC($D$2:$D$288,0.8),5,D203&gt;=_xlfn.PERCENTILE.INC($D$2:$D$288,0.6),4,D203&gt;=_xlfn.PERCENTILE.INC($D$2:$D$288,0.4),3,D203&gt;=_xlfn.PERCENTILE.INC($D$2:$D$288,0.2),2,D203&lt;_xlfn.PERCENTILE.INC($D$2:$D$288,0.2),1)</f>
        <v>3</v>
      </c>
      <c r="H203">
        <f t="shared" si="3"/>
        <v>8</v>
      </c>
      <c r="I203" t="str" cm="1">
        <f t="array" ref="I203">_xlfn.IFS(H203&gt;=13,"Best Customers",H203&gt;=10,"Loyal Customers",H203&gt;=7,"Potential Loyal Customers",H203&gt;=4,"Need Attention",TRUE,"At Risk")</f>
        <v>Potential Loyal Customers</v>
      </c>
    </row>
    <row r="204" spans="1:9">
      <c r="A204" t="s">
        <v>305</v>
      </c>
      <c r="B204" s="4">
        <v>34.656990740739275</v>
      </c>
      <c r="C204">
        <v>2</v>
      </c>
      <c r="D204">
        <v>21.21</v>
      </c>
      <c r="E204" s="5" cm="1">
        <f t="array" ref="E204">_xlfn.IFS(B204&lt;=_xlfn.PERCENTILE.INC($B$2:$B$288,0.2),5,B204&lt;=_xlfn.PERCENTILE.INC($B$2:$B$288,0.4),4,B204&lt;=_xlfn.PERCENTILE.INC($B$2:$B$288,0.6),3,B204&lt;=_xlfn.PERCENTILE.INC($B$2:$B$288,0.8),2,B204&gt;_xlfn.PERCENTILE.INC($B$2:$B$288,0.8),1)</f>
        <v>5</v>
      </c>
      <c r="F204" cm="1">
        <f t="array" ref="F204">_xlfn.IFS(C204&gt;=_xlfn.PERCENTILE.INC($C$2:$C$288,0.8),5,C204&gt;=_xlfn.PERCENTILE.INC($C$2:$C$288,0.6),4,C204&gt;=_xlfn.PERCENTILE.INC($C$2:$C$288,0.4),3,C204&gt;=_xlfn.PERCENTILE.INC($C$2:$C$288,0.2),2,C204&lt;_xlfn.PERCENTILE.INC($C$2:$C$288,0.2),1)</f>
        <v>2</v>
      </c>
      <c r="G204" cm="1">
        <f t="array" ref="G204">_xlfn.IFS(D204&gt;=_xlfn.PERCENTILE.INC($D$2:$D$288,0.8),5,D204&gt;=_xlfn.PERCENTILE.INC($D$2:$D$288,0.6),4,D204&gt;=_xlfn.PERCENTILE.INC($D$2:$D$288,0.4),3,D204&gt;=_xlfn.PERCENTILE.INC($D$2:$D$288,0.2),2,D204&lt;_xlfn.PERCENTILE.INC($D$2:$D$288,0.2),1)</f>
        <v>1</v>
      </c>
      <c r="H204">
        <f t="shared" si="3"/>
        <v>8</v>
      </c>
      <c r="I204" t="str" cm="1">
        <f t="array" ref="I204">_xlfn.IFS(H204&gt;=13,"Best Customers",H204&gt;=10,"Loyal Customers",H204&gt;=7,"Potential Loyal Customers",H204&gt;=4,"Need Attention",TRUE,"At Risk")</f>
        <v>Potential Loyal Customers</v>
      </c>
    </row>
    <row r="205" spans="1:9">
      <c r="A205" t="s">
        <v>72</v>
      </c>
      <c r="B205" s="4">
        <v>17.656990740739275</v>
      </c>
      <c r="C205">
        <v>3</v>
      </c>
      <c r="D205">
        <v>40.739999999999995</v>
      </c>
      <c r="E205" s="5" cm="1">
        <f t="array" ref="E205">_xlfn.IFS(B205&lt;=_xlfn.PERCENTILE.INC($B$2:$B$288,0.2),5,B205&lt;=_xlfn.PERCENTILE.INC($B$2:$B$288,0.4),4,B205&lt;=_xlfn.PERCENTILE.INC($B$2:$B$288,0.6),3,B205&lt;=_xlfn.PERCENTILE.INC($B$2:$B$288,0.8),2,B205&gt;_xlfn.PERCENTILE.INC($B$2:$B$288,0.8),1)</f>
        <v>5</v>
      </c>
      <c r="F205" cm="1">
        <f t="array" ref="F205">_xlfn.IFS(C205&gt;=_xlfn.PERCENTILE.INC($C$2:$C$288,0.8),5,C205&gt;=_xlfn.PERCENTILE.INC($C$2:$C$288,0.6),4,C205&gt;=_xlfn.PERCENTILE.INC($C$2:$C$288,0.4),3,C205&gt;=_xlfn.PERCENTILE.INC($C$2:$C$288,0.2),2,C205&lt;_xlfn.PERCENTILE.INC($C$2:$C$288,0.2),1)</f>
        <v>3</v>
      </c>
      <c r="G205" cm="1">
        <f t="array" ref="G205">_xlfn.IFS(D205&gt;=_xlfn.PERCENTILE.INC($D$2:$D$288,0.8),5,D205&gt;=_xlfn.PERCENTILE.INC($D$2:$D$288,0.6),4,D205&gt;=_xlfn.PERCENTILE.INC($D$2:$D$288,0.4),3,D205&gt;=_xlfn.PERCENTILE.INC($D$2:$D$288,0.2),2,D205&lt;_xlfn.PERCENTILE.INC($D$2:$D$288,0.2),1)</f>
        <v>2</v>
      </c>
      <c r="H205">
        <f t="shared" si="3"/>
        <v>10</v>
      </c>
      <c r="I205" t="str" cm="1">
        <f t="array" ref="I205">_xlfn.IFS(H205&gt;=13,"Best Customers",H205&gt;=10,"Loyal Customers",H205&gt;=7,"Potential Loyal Customers",H205&gt;=4,"Need Attention",TRUE,"At Risk")</f>
        <v>Loyal Customers</v>
      </c>
    </row>
    <row r="206" spans="1:9">
      <c r="A206" t="s">
        <v>230</v>
      </c>
      <c r="B206" s="4">
        <v>153.65699074073927</v>
      </c>
      <c r="C206">
        <v>4</v>
      </c>
      <c r="D206">
        <v>29.38</v>
      </c>
      <c r="E206" s="5" cm="1">
        <f t="array" ref="E206">_xlfn.IFS(B206&lt;=_xlfn.PERCENTILE.INC($B$2:$B$288,0.2),5,B206&lt;=_xlfn.PERCENTILE.INC($B$2:$B$288,0.4),4,B206&lt;=_xlfn.PERCENTILE.INC($B$2:$B$288,0.6),3,B206&lt;=_xlfn.PERCENTILE.INC($B$2:$B$288,0.8),2,B206&gt;_xlfn.PERCENTILE.INC($B$2:$B$288,0.8),1)</f>
        <v>2</v>
      </c>
      <c r="F206" cm="1">
        <f t="array" ref="F206">_xlfn.IFS(C206&gt;=_xlfn.PERCENTILE.INC($C$2:$C$288,0.8),5,C206&gt;=_xlfn.PERCENTILE.INC($C$2:$C$288,0.6),4,C206&gt;=_xlfn.PERCENTILE.INC($C$2:$C$288,0.4),3,C206&gt;=_xlfn.PERCENTILE.INC($C$2:$C$288,0.2),2,C206&lt;_xlfn.PERCENTILE.INC($C$2:$C$288,0.2),1)</f>
        <v>4</v>
      </c>
      <c r="G206" cm="1">
        <f t="array" ref="G206">_xlfn.IFS(D206&gt;=_xlfn.PERCENTILE.INC($D$2:$D$288,0.8),5,D206&gt;=_xlfn.PERCENTILE.INC($D$2:$D$288,0.6),4,D206&gt;=_xlfn.PERCENTILE.INC($D$2:$D$288,0.4),3,D206&gt;=_xlfn.PERCENTILE.INC($D$2:$D$288,0.2),2,D206&lt;_xlfn.PERCENTILE.INC($D$2:$D$288,0.2),1)</f>
        <v>2</v>
      </c>
      <c r="H206">
        <f t="shared" si="3"/>
        <v>8</v>
      </c>
      <c r="I206" t="str" cm="1">
        <f t="array" ref="I206">_xlfn.IFS(H206&gt;=13,"Best Customers",H206&gt;=10,"Loyal Customers",H206&gt;=7,"Potential Loyal Customers",H206&gt;=4,"Need Attention",TRUE,"At Risk")</f>
        <v>Potential Loyal Customers</v>
      </c>
    </row>
    <row r="207" spans="1:9">
      <c r="A207" t="s">
        <v>303</v>
      </c>
      <c r="B207" s="4">
        <v>190.65699074073927</v>
      </c>
      <c r="C207">
        <v>6</v>
      </c>
      <c r="D207">
        <v>123.08</v>
      </c>
      <c r="E207" s="5" cm="1">
        <f t="array" ref="E207">_xlfn.IFS(B207&lt;=_xlfn.PERCENTILE.INC($B$2:$B$288,0.2),5,B207&lt;=_xlfn.PERCENTILE.INC($B$2:$B$288,0.4),4,B207&lt;=_xlfn.PERCENTILE.INC($B$2:$B$288,0.6),3,B207&lt;=_xlfn.PERCENTILE.INC($B$2:$B$288,0.8),2,B207&gt;_xlfn.PERCENTILE.INC($B$2:$B$288,0.8),1)</f>
        <v>1</v>
      </c>
      <c r="F207" cm="1">
        <f t="array" ref="F207">_xlfn.IFS(C207&gt;=_xlfn.PERCENTILE.INC($C$2:$C$288,0.8),5,C207&gt;=_xlfn.PERCENTILE.INC($C$2:$C$288,0.6),4,C207&gt;=_xlfn.PERCENTILE.INC($C$2:$C$288,0.4),3,C207&gt;=_xlfn.PERCENTILE.INC($C$2:$C$288,0.2),2,C207&lt;_xlfn.PERCENTILE.INC($C$2:$C$288,0.2),1)</f>
        <v>5</v>
      </c>
      <c r="G207" cm="1">
        <f t="array" ref="G207">_xlfn.IFS(D207&gt;=_xlfn.PERCENTILE.INC($D$2:$D$288,0.8),5,D207&gt;=_xlfn.PERCENTILE.INC($D$2:$D$288,0.6),4,D207&gt;=_xlfn.PERCENTILE.INC($D$2:$D$288,0.4),3,D207&gt;=_xlfn.PERCENTILE.INC($D$2:$D$288,0.2),2,D207&lt;_xlfn.PERCENTILE.INC($D$2:$D$288,0.2),1)</f>
        <v>5</v>
      </c>
      <c r="H207">
        <f t="shared" si="3"/>
        <v>11</v>
      </c>
      <c r="I207" t="str" cm="1">
        <f t="array" ref="I207">_xlfn.IFS(H207&gt;=13,"Best Customers",H207&gt;=10,"Loyal Customers",H207&gt;=7,"Potential Loyal Customers",H207&gt;=4,"Need Attention",TRUE,"At Risk")</f>
        <v>Loyal Customers</v>
      </c>
    </row>
    <row r="208" spans="1:9">
      <c r="A208" t="s">
        <v>161</v>
      </c>
      <c r="B208" s="4">
        <v>86.656990740739275</v>
      </c>
      <c r="C208">
        <v>5</v>
      </c>
      <c r="D208">
        <v>158.79999999999998</v>
      </c>
      <c r="E208" s="5" cm="1">
        <f t="array" ref="E208">_xlfn.IFS(B208&lt;=_xlfn.PERCENTILE.INC($B$2:$B$288,0.2),5,B208&lt;=_xlfn.PERCENTILE.INC($B$2:$B$288,0.4),4,B208&lt;=_xlfn.PERCENTILE.INC($B$2:$B$288,0.6),3,B208&lt;=_xlfn.PERCENTILE.INC($B$2:$B$288,0.8),2,B208&gt;_xlfn.PERCENTILE.INC($B$2:$B$288,0.8),1)</f>
        <v>3</v>
      </c>
      <c r="F208" cm="1">
        <f t="array" ref="F208">_xlfn.IFS(C208&gt;=_xlfn.PERCENTILE.INC($C$2:$C$288,0.8),5,C208&gt;=_xlfn.PERCENTILE.INC($C$2:$C$288,0.6),4,C208&gt;=_xlfn.PERCENTILE.INC($C$2:$C$288,0.4),3,C208&gt;=_xlfn.PERCENTILE.INC($C$2:$C$288,0.2),2,C208&lt;_xlfn.PERCENTILE.INC($C$2:$C$288,0.2),1)</f>
        <v>5</v>
      </c>
      <c r="G208" cm="1">
        <f t="array" ref="G208">_xlfn.IFS(D208&gt;=_xlfn.PERCENTILE.INC($D$2:$D$288,0.8),5,D208&gt;=_xlfn.PERCENTILE.INC($D$2:$D$288,0.6),4,D208&gt;=_xlfn.PERCENTILE.INC($D$2:$D$288,0.4),3,D208&gt;=_xlfn.PERCENTILE.INC($D$2:$D$288,0.2),2,D208&lt;_xlfn.PERCENTILE.INC($D$2:$D$288,0.2),1)</f>
        <v>5</v>
      </c>
      <c r="H208">
        <f t="shared" si="3"/>
        <v>13</v>
      </c>
      <c r="I208" t="str" cm="1">
        <f t="array" ref="I208">_xlfn.IFS(H208&gt;=13,"Best Customers",H208&gt;=10,"Loyal Customers",H208&gt;=7,"Potential Loyal Customers",H208&gt;=4,"Need Attention",TRUE,"At Risk")</f>
        <v>Best Customers</v>
      </c>
    </row>
    <row r="209" spans="1:9">
      <c r="A209" t="s">
        <v>544</v>
      </c>
      <c r="B209" s="4">
        <v>101.65699074073927</v>
      </c>
      <c r="C209">
        <v>3</v>
      </c>
      <c r="D209">
        <v>33.950000000000003</v>
      </c>
      <c r="E209" s="5" cm="1">
        <f t="array" ref="E209">_xlfn.IFS(B209&lt;=_xlfn.PERCENTILE.INC($B$2:$B$288,0.2),5,B209&lt;=_xlfn.PERCENTILE.INC($B$2:$B$288,0.4),4,B209&lt;=_xlfn.PERCENTILE.INC($B$2:$B$288,0.6),3,B209&lt;=_xlfn.PERCENTILE.INC($B$2:$B$288,0.8),2,B209&gt;_xlfn.PERCENTILE.INC($B$2:$B$288,0.8),1)</f>
        <v>3</v>
      </c>
      <c r="F209" cm="1">
        <f t="array" ref="F209">_xlfn.IFS(C209&gt;=_xlfn.PERCENTILE.INC($C$2:$C$288,0.8),5,C209&gt;=_xlfn.PERCENTILE.INC($C$2:$C$288,0.6),4,C209&gt;=_xlfn.PERCENTILE.INC($C$2:$C$288,0.4),3,C209&gt;=_xlfn.PERCENTILE.INC($C$2:$C$288,0.2),2,C209&lt;_xlfn.PERCENTILE.INC($C$2:$C$288,0.2),1)</f>
        <v>3</v>
      </c>
      <c r="G209" cm="1">
        <f t="array" ref="G209">_xlfn.IFS(D209&gt;=_xlfn.PERCENTILE.INC($D$2:$D$288,0.8),5,D209&gt;=_xlfn.PERCENTILE.INC($D$2:$D$288,0.6),4,D209&gt;=_xlfn.PERCENTILE.INC($D$2:$D$288,0.4),3,D209&gt;=_xlfn.PERCENTILE.INC($D$2:$D$288,0.2),2,D209&lt;_xlfn.PERCENTILE.INC($D$2:$D$288,0.2),1)</f>
        <v>2</v>
      </c>
      <c r="H209">
        <f t="shared" si="3"/>
        <v>8</v>
      </c>
      <c r="I209" t="str" cm="1">
        <f t="array" ref="I209">_xlfn.IFS(H209&gt;=13,"Best Customers",H209&gt;=10,"Loyal Customers",H209&gt;=7,"Potential Loyal Customers",H209&gt;=4,"Need Attention",TRUE,"At Risk")</f>
        <v>Potential Loyal Customers</v>
      </c>
    </row>
    <row r="210" spans="1:9">
      <c r="A210" t="s">
        <v>200</v>
      </c>
      <c r="B210" s="4">
        <v>36.656990740739275</v>
      </c>
      <c r="C210">
        <v>3</v>
      </c>
      <c r="D210">
        <v>59.46</v>
      </c>
      <c r="E210" s="5" cm="1">
        <f t="array" ref="E210">_xlfn.IFS(B210&lt;=_xlfn.PERCENTILE.INC($B$2:$B$288,0.2),5,B210&lt;=_xlfn.PERCENTILE.INC($B$2:$B$288,0.4),4,B210&lt;=_xlfn.PERCENTILE.INC($B$2:$B$288,0.6),3,B210&lt;=_xlfn.PERCENTILE.INC($B$2:$B$288,0.8),2,B210&gt;_xlfn.PERCENTILE.INC($B$2:$B$288,0.8),1)</f>
        <v>5</v>
      </c>
      <c r="F210" cm="1">
        <f t="array" ref="F210">_xlfn.IFS(C210&gt;=_xlfn.PERCENTILE.INC($C$2:$C$288,0.8),5,C210&gt;=_xlfn.PERCENTILE.INC($C$2:$C$288,0.6),4,C210&gt;=_xlfn.PERCENTILE.INC($C$2:$C$288,0.4),3,C210&gt;=_xlfn.PERCENTILE.INC($C$2:$C$288,0.2),2,C210&lt;_xlfn.PERCENTILE.INC($C$2:$C$288,0.2),1)</f>
        <v>3</v>
      </c>
      <c r="G210" cm="1">
        <f t="array" ref="G210">_xlfn.IFS(D210&gt;=_xlfn.PERCENTILE.INC($D$2:$D$288,0.8),5,D210&gt;=_xlfn.PERCENTILE.INC($D$2:$D$288,0.6),4,D210&gt;=_xlfn.PERCENTILE.INC($D$2:$D$288,0.4),3,D210&gt;=_xlfn.PERCENTILE.INC($D$2:$D$288,0.2),2,D210&lt;_xlfn.PERCENTILE.INC($D$2:$D$288,0.2),1)</f>
        <v>3</v>
      </c>
      <c r="H210">
        <f t="shared" si="3"/>
        <v>11</v>
      </c>
      <c r="I210" t="str" cm="1">
        <f t="array" ref="I210">_xlfn.IFS(H210&gt;=13,"Best Customers",H210&gt;=10,"Loyal Customers",H210&gt;=7,"Potential Loyal Customers",H210&gt;=4,"Need Attention",TRUE,"At Risk")</f>
        <v>Loyal Customers</v>
      </c>
    </row>
    <row r="211" spans="1:9">
      <c r="A211" t="s">
        <v>483</v>
      </c>
      <c r="B211" s="4">
        <v>21.656990740739275</v>
      </c>
      <c r="C211">
        <v>2</v>
      </c>
      <c r="D211">
        <v>47.76</v>
      </c>
      <c r="E211" s="5" cm="1">
        <f t="array" ref="E211">_xlfn.IFS(B211&lt;=_xlfn.PERCENTILE.INC($B$2:$B$288,0.2),5,B211&lt;=_xlfn.PERCENTILE.INC($B$2:$B$288,0.4),4,B211&lt;=_xlfn.PERCENTILE.INC($B$2:$B$288,0.6),3,B211&lt;=_xlfn.PERCENTILE.INC($B$2:$B$288,0.8),2,B211&gt;_xlfn.PERCENTILE.INC($B$2:$B$288,0.8),1)</f>
        <v>5</v>
      </c>
      <c r="F211" cm="1">
        <f t="array" ref="F211">_xlfn.IFS(C211&gt;=_xlfn.PERCENTILE.INC($C$2:$C$288,0.8),5,C211&gt;=_xlfn.PERCENTILE.INC($C$2:$C$288,0.6),4,C211&gt;=_xlfn.PERCENTILE.INC($C$2:$C$288,0.4),3,C211&gt;=_xlfn.PERCENTILE.INC($C$2:$C$288,0.2),2,C211&lt;_xlfn.PERCENTILE.INC($C$2:$C$288,0.2),1)</f>
        <v>2</v>
      </c>
      <c r="G211" cm="1">
        <f t="array" ref="G211">_xlfn.IFS(D211&gt;=_xlfn.PERCENTILE.INC($D$2:$D$288,0.8),5,D211&gt;=_xlfn.PERCENTILE.INC($D$2:$D$288,0.6),4,D211&gt;=_xlfn.PERCENTILE.INC($D$2:$D$288,0.4),3,D211&gt;=_xlfn.PERCENTILE.INC($D$2:$D$288,0.2),2,D211&lt;_xlfn.PERCENTILE.INC($D$2:$D$288,0.2),1)</f>
        <v>3</v>
      </c>
      <c r="H211">
        <f t="shared" si="3"/>
        <v>10</v>
      </c>
      <c r="I211" t="str" cm="1">
        <f t="array" ref="I211">_xlfn.IFS(H211&gt;=13,"Best Customers",H211&gt;=10,"Loyal Customers",H211&gt;=7,"Potential Loyal Customers",H211&gt;=4,"Need Attention",TRUE,"At Risk")</f>
        <v>Loyal Customers</v>
      </c>
    </row>
    <row r="212" spans="1:9">
      <c r="A212" t="s">
        <v>1019</v>
      </c>
      <c r="B212" s="4">
        <v>99.656990740739275</v>
      </c>
      <c r="C212">
        <v>3</v>
      </c>
      <c r="D212">
        <v>73.260000000000005</v>
      </c>
      <c r="E212" s="5" cm="1">
        <f t="array" ref="E212">_xlfn.IFS(B212&lt;=_xlfn.PERCENTILE.INC($B$2:$B$288,0.2),5,B212&lt;=_xlfn.PERCENTILE.INC($B$2:$B$288,0.4),4,B212&lt;=_xlfn.PERCENTILE.INC($B$2:$B$288,0.6),3,B212&lt;=_xlfn.PERCENTILE.INC($B$2:$B$288,0.8),2,B212&gt;_xlfn.PERCENTILE.INC($B$2:$B$288,0.8),1)</f>
        <v>3</v>
      </c>
      <c r="F212" cm="1">
        <f t="array" ref="F212">_xlfn.IFS(C212&gt;=_xlfn.PERCENTILE.INC($C$2:$C$288,0.8),5,C212&gt;=_xlfn.PERCENTILE.INC($C$2:$C$288,0.6),4,C212&gt;=_xlfn.PERCENTILE.INC($C$2:$C$288,0.4),3,C212&gt;=_xlfn.PERCENTILE.INC($C$2:$C$288,0.2),2,C212&lt;_xlfn.PERCENTILE.INC($C$2:$C$288,0.2),1)</f>
        <v>3</v>
      </c>
      <c r="G212" cm="1">
        <f t="array" ref="G212">_xlfn.IFS(D212&gt;=_xlfn.PERCENTILE.INC($D$2:$D$288,0.8),5,D212&gt;=_xlfn.PERCENTILE.INC($D$2:$D$288,0.6),4,D212&gt;=_xlfn.PERCENTILE.INC($D$2:$D$288,0.4),3,D212&gt;=_xlfn.PERCENTILE.INC($D$2:$D$288,0.2),2,D212&lt;_xlfn.PERCENTILE.INC($D$2:$D$288,0.2),1)</f>
        <v>4</v>
      </c>
      <c r="H212">
        <f t="shared" si="3"/>
        <v>10</v>
      </c>
      <c r="I212" t="str" cm="1">
        <f t="array" ref="I212">_xlfn.IFS(H212&gt;=13,"Best Customers",H212&gt;=10,"Loyal Customers",H212&gt;=7,"Potential Loyal Customers",H212&gt;=4,"Need Attention",TRUE,"At Risk")</f>
        <v>Loyal Customers</v>
      </c>
    </row>
    <row r="213" spans="1:9">
      <c r="A213" t="s">
        <v>995</v>
      </c>
      <c r="B213" s="4">
        <v>354.65699074073927</v>
      </c>
      <c r="C213">
        <v>2</v>
      </c>
      <c r="D213">
        <v>30.95</v>
      </c>
      <c r="E213" s="5" cm="1">
        <f t="array" ref="E213">_xlfn.IFS(B213&lt;=_xlfn.PERCENTILE.INC($B$2:$B$288,0.2),5,B213&lt;=_xlfn.PERCENTILE.INC($B$2:$B$288,0.4),4,B213&lt;=_xlfn.PERCENTILE.INC($B$2:$B$288,0.6),3,B213&lt;=_xlfn.PERCENTILE.INC($B$2:$B$288,0.8),2,B213&gt;_xlfn.PERCENTILE.INC($B$2:$B$288,0.8),1)</f>
        <v>1</v>
      </c>
      <c r="F213" cm="1">
        <f t="array" ref="F213">_xlfn.IFS(C213&gt;=_xlfn.PERCENTILE.INC($C$2:$C$288,0.8),5,C213&gt;=_xlfn.PERCENTILE.INC($C$2:$C$288,0.6),4,C213&gt;=_xlfn.PERCENTILE.INC($C$2:$C$288,0.4),3,C213&gt;=_xlfn.PERCENTILE.INC($C$2:$C$288,0.2),2,C213&lt;_xlfn.PERCENTILE.INC($C$2:$C$288,0.2),1)</f>
        <v>2</v>
      </c>
      <c r="G213" cm="1">
        <f t="array" ref="G213">_xlfn.IFS(D213&gt;=_xlfn.PERCENTILE.INC($D$2:$D$288,0.8),5,D213&gt;=_xlfn.PERCENTILE.INC($D$2:$D$288,0.6),4,D213&gt;=_xlfn.PERCENTILE.INC($D$2:$D$288,0.4),3,D213&gt;=_xlfn.PERCENTILE.INC($D$2:$D$288,0.2),2,D213&lt;_xlfn.PERCENTILE.INC($D$2:$D$288,0.2),1)</f>
        <v>2</v>
      </c>
      <c r="H213">
        <f t="shared" si="3"/>
        <v>5</v>
      </c>
      <c r="I213" t="str" cm="1">
        <f t="array" ref="I213">_xlfn.IFS(H213&gt;=13,"Best Customers",H213&gt;=10,"Loyal Customers",H213&gt;=7,"Potential Loyal Customers",H213&gt;=4,"Need Attention",TRUE,"At Risk")</f>
        <v>Need Attention</v>
      </c>
    </row>
    <row r="214" spans="1:9">
      <c r="A214" t="s">
        <v>329</v>
      </c>
      <c r="B214" s="4">
        <v>18.656990740739275</v>
      </c>
      <c r="C214">
        <v>4</v>
      </c>
      <c r="D214">
        <v>30.69</v>
      </c>
      <c r="E214" s="5" cm="1">
        <f t="array" ref="E214">_xlfn.IFS(B214&lt;=_xlfn.PERCENTILE.INC($B$2:$B$288,0.2),5,B214&lt;=_xlfn.PERCENTILE.INC($B$2:$B$288,0.4),4,B214&lt;=_xlfn.PERCENTILE.INC($B$2:$B$288,0.6),3,B214&lt;=_xlfn.PERCENTILE.INC($B$2:$B$288,0.8),2,B214&gt;_xlfn.PERCENTILE.INC($B$2:$B$288,0.8),1)</f>
        <v>5</v>
      </c>
      <c r="F214" cm="1">
        <f t="array" ref="F214">_xlfn.IFS(C214&gt;=_xlfn.PERCENTILE.INC($C$2:$C$288,0.8),5,C214&gt;=_xlfn.PERCENTILE.INC($C$2:$C$288,0.6),4,C214&gt;=_xlfn.PERCENTILE.INC($C$2:$C$288,0.4),3,C214&gt;=_xlfn.PERCENTILE.INC($C$2:$C$288,0.2),2,C214&lt;_xlfn.PERCENTILE.INC($C$2:$C$288,0.2),1)</f>
        <v>4</v>
      </c>
      <c r="G214" cm="1">
        <f t="array" ref="G214">_xlfn.IFS(D214&gt;=_xlfn.PERCENTILE.INC($D$2:$D$288,0.8),5,D214&gt;=_xlfn.PERCENTILE.INC($D$2:$D$288,0.6),4,D214&gt;=_xlfn.PERCENTILE.INC($D$2:$D$288,0.4),3,D214&gt;=_xlfn.PERCENTILE.INC($D$2:$D$288,0.2),2,D214&lt;_xlfn.PERCENTILE.INC($D$2:$D$288,0.2),1)</f>
        <v>2</v>
      </c>
      <c r="H214">
        <f t="shared" si="3"/>
        <v>11</v>
      </c>
      <c r="I214" t="str" cm="1">
        <f t="array" ref="I214">_xlfn.IFS(H214&gt;=13,"Best Customers",H214&gt;=10,"Loyal Customers",H214&gt;=7,"Potential Loyal Customers",H214&gt;=4,"Need Attention",TRUE,"At Risk")</f>
        <v>Loyal Customers</v>
      </c>
    </row>
    <row r="215" spans="1:9">
      <c r="A215" t="s">
        <v>378</v>
      </c>
      <c r="B215" s="4">
        <v>69.656990740739275</v>
      </c>
      <c r="C215">
        <v>5</v>
      </c>
      <c r="D215">
        <v>61.239999999999995</v>
      </c>
      <c r="E215" s="5" cm="1">
        <f t="array" ref="E215">_xlfn.IFS(B215&lt;=_xlfn.PERCENTILE.INC($B$2:$B$288,0.2),5,B215&lt;=_xlfn.PERCENTILE.INC($B$2:$B$288,0.4),4,B215&lt;=_xlfn.PERCENTILE.INC($B$2:$B$288,0.6),3,B215&lt;=_xlfn.PERCENTILE.INC($B$2:$B$288,0.8),2,B215&gt;_xlfn.PERCENTILE.INC($B$2:$B$288,0.8),1)</f>
        <v>4</v>
      </c>
      <c r="F215" cm="1">
        <f t="array" ref="F215">_xlfn.IFS(C215&gt;=_xlfn.PERCENTILE.INC($C$2:$C$288,0.8),5,C215&gt;=_xlfn.PERCENTILE.INC($C$2:$C$288,0.6),4,C215&gt;=_xlfn.PERCENTILE.INC($C$2:$C$288,0.4),3,C215&gt;=_xlfn.PERCENTILE.INC($C$2:$C$288,0.2),2,C215&lt;_xlfn.PERCENTILE.INC($C$2:$C$288,0.2),1)</f>
        <v>5</v>
      </c>
      <c r="G215" cm="1">
        <f t="array" ref="G215">_xlfn.IFS(D215&gt;=_xlfn.PERCENTILE.INC($D$2:$D$288,0.8),5,D215&gt;=_xlfn.PERCENTILE.INC($D$2:$D$288,0.6),4,D215&gt;=_xlfn.PERCENTILE.INC($D$2:$D$288,0.4),3,D215&gt;=_xlfn.PERCENTILE.INC($D$2:$D$288,0.2),2,D215&lt;_xlfn.PERCENTILE.INC($D$2:$D$288,0.2),1)</f>
        <v>4</v>
      </c>
      <c r="H215">
        <f t="shared" si="3"/>
        <v>13</v>
      </c>
      <c r="I215" t="str" cm="1">
        <f t="array" ref="I215">_xlfn.IFS(H215&gt;=13,"Best Customers",H215&gt;=10,"Loyal Customers",H215&gt;=7,"Potential Loyal Customers",H215&gt;=4,"Need Attention",TRUE,"At Risk")</f>
        <v>Best Customers</v>
      </c>
    </row>
    <row r="216" spans="1:9">
      <c r="A216" t="s">
        <v>300</v>
      </c>
      <c r="B216" s="4">
        <v>22.656990740739275</v>
      </c>
      <c r="C216">
        <v>6</v>
      </c>
      <c r="D216">
        <v>116.16</v>
      </c>
      <c r="E216" s="5" cm="1">
        <f t="array" ref="E216">_xlfn.IFS(B216&lt;=_xlfn.PERCENTILE.INC($B$2:$B$288,0.2),5,B216&lt;=_xlfn.PERCENTILE.INC($B$2:$B$288,0.4),4,B216&lt;=_xlfn.PERCENTILE.INC($B$2:$B$288,0.6),3,B216&lt;=_xlfn.PERCENTILE.INC($B$2:$B$288,0.8),2,B216&gt;_xlfn.PERCENTILE.INC($B$2:$B$288,0.8),1)</f>
        <v>5</v>
      </c>
      <c r="F216" cm="1">
        <f t="array" ref="F216">_xlfn.IFS(C216&gt;=_xlfn.PERCENTILE.INC($C$2:$C$288,0.8),5,C216&gt;=_xlfn.PERCENTILE.INC($C$2:$C$288,0.6),4,C216&gt;=_xlfn.PERCENTILE.INC($C$2:$C$288,0.4),3,C216&gt;=_xlfn.PERCENTILE.INC($C$2:$C$288,0.2),2,C216&lt;_xlfn.PERCENTILE.INC($C$2:$C$288,0.2),1)</f>
        <v>5</v>
      </c>
      <c r="G216" cm="1">
        <f t="array" ref="G216">_xlfn.IFS(D216&gt;=_xlfn.PERCENTILE.INC($D$2:$D$288,0.8),5,D216&gt;=_xlfn.PERCENTILE.INC($D$2:$D$288,0.6),4,D216&gt;=_xlfn.PERCENTILE.INC($D$2:$D$288,0.4),3,D216&gt;=_xlfn.PERCENTILE.INC($D$2:$D$288,0.2),2,D216&lt;_xlfn.PERCENTILE.INC($D$2:$D$288,0.2),1)</f>
        <v>5</v>
      </c>
      <c r="H216">
        <f t="shared" si="3"/>
        <v>15</v>
      </c>
      <c r="I216" t="str" cm="1">
        <f t="array" ref="I216">_xlfn.IFS(H216&gt;=13,"Best Customers",H216&gt;=10,"Loyal Customers",H216&gt;=7,"Potential Loyal Customers",H216&gt;=4,"Need Attention",TRUE,"At Risk")</f>
        <v>Best Customers</v>
      </c>
    </row>
    <row r="217" spans="1:9">
      <c r="A217" t="s">
        <v>114</v>
      </c>
      <c r="B217" s="4">
        <v>117.65699074073927</v>
      </c>
      <c r="C217">
        <v>3</v>
      </c>
      <c r="D217">
        <v>24.72</v>
      </c>
      <c r="E217" s="5" cm="1">
        <f t="array" ref="E217">_xlfn.IFS(B217&lt;=_xlfn.PERCENTILE.INC($B$2:$B$288,0.2),5,B217&lt;=_xlfn.PERCENTILE.INC($B$2:$B$288,0.4),4,B217&lt;=_xlfn.PERCENTILE.INC($B$2:$B$288,0.6),3,B217&lt;=_xlfn.PERCENTILE.INC($B$2:$B$288,0.8),2,B217&gt;_xlfn.PERCENTILE.INC($B$2:$B$288,0.8),1)</f>
        <v>3</v>
      </c>
      <c r="F217" cm="1">
        <f t="array" ref="F217">_xlfn.IFS(C217&gt;=_xlfn.PERCENTILE.INC($C$2:$C$288,0.8),5,C217&gt;=_xlfn.PERCENTILE.INC($C$2:$C$288,0.6),4,C217&gt;=_xlfn.PERCENTILE.INC($C$2:$C$288,0.4),3,C217&gt;=_xlfn.PERCENTILE.INC($C$2:$C$288,0.2),2,C217&lt;_xlfn.PERCENTILE.INC($C$2:$C$288,0.2),1)</f>
        <v>3</v>
      </c>
      <c r="G217" cm="1">
        <f t="array" ref="G217">_xlfn.IFS(D217&gt;=_xlfn.PERCENTILE.INC($D$2:$D$288,0.8),5,D217&gt;=_xlfn.PERCENTILE.INC($D$2:$D$288,0.6),4,D217&gt;=_xlfn.PERCENTILE.INC($D$2:$D$288,0.4),3,D217&gt;=_xlfn.PERCENTILE.INC($D$2:$D$288,0.2),2,D217&lt;_xlfn.PERCENTILE.INC($D$2:$D$288,0.2),1)</f>
        <v>1</v>
      </c>
      <c r="H217">
        <f t="shared" si="3"/>
        <v>7</v>
      </c>
      <c r="I217" t="str" cm="1">
        <f t="array" ref="I217">_xlfn.IFS(H217&gt;=13,"Best Customers",H217&gt;=10,"Loyal Customers",H217&gt;=7,"Potential Loyal Customers",H217&gt;=4,"Need Attention",TRUE,"At Risk")</f>
        <v>Potential Loyal Customers</v>
      </c>
    </row>
    <row r="218" spans="1:9">
      <c r="A218" t="s">
        <v>418</v>
      </c>
      <c r="B218" s="4">
        <v>36.656990740739275</v>
      </c>
      <c r="C218">
        <v>7</v>
      </c>
      <c r="D218">
        <v>108.13000000000001</v>
      </c>
      <c r="E218" s="5" cm="1">
        <f t="array" ref="E218">_xlfn.IFS(B218&lt;=_xlfn.PERCENTILE.INC($B$2:$B$288,0.2),5,B218&lt;=_xlfn.PERCENTILE.INC($B$2:$B$288,0.4),4,B218&lt;=_xlfn.PERCENTILE.INC($B$2:$B$288,0.6),3,B218&lt;=_xlfn.PERCENTILE.INC($B$2:$B$288,0.8),2,B218&gt;_xlfn.PERCENTILE.INC($B$2:$B$288,0.8),1)</f>
        <v>5</v>
      </c>
      <c r="F218" cm="1">
        <f t="array" ref="F218">_xlfn.IFS(C218&gt;=_xlfn.PERCENTILE.INC($C$2:$C$288,0.8),5,C218&gt;=_xlfn.PERCENTILE.INC($C$2:$C$288,0.6),4,C218&gt;=_xlfn.PERCENTILE.INC($C$2:$C$288,0.4),3,C218&gt;=_xlfn.PERCENTILE.INC($C$2:$C$288,0.2),2,C218&lt;_xlfn.PERCENTILE.INC($C$2:$C$288,0.2),1)</f>
        <v>5</v>
      </c>
      <c r="G218" cm="1">
        <f t="array" ref="G218">_xlfn.IFS(D218&gt;=_xlfn.PERCENTILE.INC($D$2:$D$288,0.8),5,D218&gt;=_xlfn.PERCENTILE.INC($D$2:$D$288,0.6),4,D218&gt;=_xlfn.PERCENTILE.INC($D$2:$D$288,0.4),3,D218&gt;=_xlfn.PERCENTILE.INC($D$2:$D$288,0.2),2,D218&lt;_xlfn.PERCENTILE.INC($D$2:$D$288,0.2),1)</f>
        <v>5</v>
      </c>
      <c r="H218">
        <f t="shared" si="3"/>
        <v>15</v>
      </c>
      <c r="I218" t="str" cm="1">
        <f t="array" ref="I218">_xlfn.IFS(H218&gt;=13,"Best Customers",H218&gt;=10,"Loyal Customers",H218&gt;=7,"Potential Loyal Customers",H218&gt;=4,"Need Attention",TRUE,"At Risk")</f>
        <v>Best Customers</v>
      </c>
    </row>
    <row r="219" spans="1:9">
      <c r="A219" t="s">
        <v>519</v>
      </c>
      <c r="B219" s="4">
        <v>78.656990740739275</v>
      </c>
      <c r="C219">
        <v>6</v>
      </c>
      <c r="D219">
        <v>126.89</v>
      </c>
      <c r="E219" s="5" cm="1">
        <f t="array" ref="E219">_xlfn.IFS(B219&lt;=_xlfn.PERCENTILE.INC($B$2:$B$288,0.2),5,B219&lt;=_xlfn.PERCENTILE.INC($B$2:$B$288,0.4),4,B219&lt;=_xlfn.PERCENTILE.INC($B$2:$B$288,0.6),3,B219&lt;=_xlfn.PERCENTILE.INC($B$2:$B$288,0.8),2,B219&gt;_xlfn.PERCENTILE.INC($B$2:$B$288,0.8),1)</f>
        <v>3</v>
      </c>
      <c r="F219" cm="1">
        <f t="array" ref="F219">_xlfn.IFS(C219&gt;=_xlfn.PERCENTILE.INC($C$2:$C$288,0.8),5,C219&gt;=_xlfn.PERCENTILE.INC($C$2:$C$288,0.6),4,C219&gt;=_xlfn.PERCENTILE.INC($C$2:$C$288,0.4),3,C219&gt;=_xlfn.PERCENTILE.INC($C$2:$C$288,0.2),2,C219&lt;_xlfn.PERCENTILE.INC($C$2:$C$288,0.2),1)</f>
        <v>5</v>
      </c>
      <c r="G219" cm="1">
        <f t="array" ref="G219">_xlfn.IFS(D219&gt;=_xlfn.PERCENTILE.INC($D$2:$D$288,0.8),5,D219&gt;=_xlfn.PERCENTILE.INC($D$2:$D$288,0.6),4,D219&gt;=_xlfn.PERCENTILE.INC($D$2:$D$288,0.4),3,D219&gt;=_xlfn.PERCENTILE.INC($D$2:$D$288,0.2),2,D219&lt;_xlfn.PERCENTILE.INC($D$2:$D$288,0.2),1)</f>
        <v>5</v>
      </c>
      <c r="H219">
        <f t="shared" si="3"/>
        <v>13</v>
      </c>
      <c r="I219" t="str" cm="1">
        <f t="array" ref="I219">_xlfn.IFS(H219&gt;=13,"Best Customers",H219&gt;=10,"Loyal Customers",H219&gt;=7,"Potential Loyal Customers",H219&gt;=4,"Need Attention",TRUE,"At Risk")</f>
        <v>Best Customers</v>
      </c>
    </row>
    <row r="220" spans="1:9">
      <c r="A220" t="s">
        <v>159</v>
      </c>
      <c r="B220" s="4">
        <v>82.656990740739275</v>
      </c>
      <c r="C220">
        <v>4</v>
      </c>
      <c r="D220">
        <v>37.58</v>
      </c>
      <c r="E220" s="5" cm="1">
        <f t="array" ref="E220">_xlfn.IFS(B220&lt;=_xlfn.PERCENTILE.INC($B$2:$B$288,0.2),5,B220&lt;=_xlfn.PERCENTILE.INC($B$2:$B$288,0.4),4,B220&lt;=_xlfn.PERCENTILE.INC($B$2:$B$288,0.6),3,B220&lt;=_xlfn.PERCENTILE.INC($B$2:$B$288,0.8),2,B220&gt;_xlfn.PERCENTILE.INC($B$2:$B$288,0.8),1)</f>
        <v>3</v>
      </c>
      <c r="F220" cm="1">
        <f t="array" ref="F220">_xlfn.IFS(C220&gt;=_xlfn.PERCENTILE.INC($C$2:$C$288,0.8),5,C220&gt;=_xlfn.PERCENTILE.INC($C$2:$C$288,0.6),4,C220&gt;=_xlfn.PERCENTILE.INC($C$2:$C$288,0.4),3,C220&gt;=_xlfn.PERCENTILE.INC($C$2:$C$288,0.2),2,C220&lt;_xlfn.PERCENTILE.INC($C$2:$C$288,0.2),1)</f>
        <v>4</v>
      </c>
      <c r="G220" cm="1">
        <f t="array" ref="G220">_xlfn.IFS(D220&gt;=_xlfn.PERCENTILE.INC($D$2:$D$288,0.8),5,D220&gt;=_xlfn.PERCENTILE.INC($D$2:$D$288,0.6),4,D220&gt;=_xlfn.PERCENTILE.INC($D$2:$D$288,0.4),3,D220&gt;=_xlfn.PERCENTILE.INC($D$2:$D$288,0.2),2,D220&lt;_xlfn.PERCENTILE.INC($D$2:$D$288,0.2),1)</f>
        <v>2</v>
      </c>
      <c r="H220">
        <f t="shared" si="3"/>
        <v>9</v>
      </c>
      <c r="I220" t="str" cm="1">
        <f t="array" ref="I220">_xlfn.IFS(H220&gt;=13,"Best Customers",H220&gt;=10,"Loyal Customers",H220&gt;=7,"Potential Loyal Customers",H220&gt;=4,"Need Attention",TRUE,"At Risk")</f>
        <v>Potential Loyal Customers</v>
      </c>
    </row>
    <row r="221" spans="1:9">
      <c r="A221" t="s">
        <v>64</v>
      </c>
      <c r="B221" s="4">
        <v>80.656990740739275</v>
      </c>
      <c r="C221">
        <v>4</v>
      </c>
      <c r="D221">
        <v>70.73</v>
      </c>
      <c r="E221" s="5" cm="1">
        <f t="array" ref="E221">_xlfn.IFS(B221&lt;=_xlfn.PERCENTILE.INC($B$2:$B$288,0.2),5,B221&lt;=_xlfn.PERCENTILE.INC($B$2:$B$288,0.4),4,B221&lt;=_xlfn.PERCENTILE.INC($B$2:$B$288,0.6),3,B221&lt;=_xlfn.PERCENTILE.INC($B$2:$B$288,0.8),2,B221&gt;_xlfn.PERCENTILE.INC($B$2:$B$288,0.8),1)</f>
        <v>3</v>
      </c>
      <c r="F221" cm="1">
        <f t="array" ref="F221">_xlfn.IFS(C221&gt;=_xlfn.PERCENTILE.INC($C$2:$C$288,0.8),5,C221&gt;=_xlfn.PERCENTILE.INC($C$2:$C$288,0.6),4,C221&gt;=_xlfn.PERCENTILE.INC($C$2:$C$288,0.4),3,C221&gt;=_xlfn.PERCENTILE.INC($C$2:$C$288,0.2),2,C221&lt;_xlfn.PERCENTILE.INC($C$2:$C$288,0.2),1)</f>
        <v>4</v>
      </c>
      <c r="G221" cm="1">
        <f t="array" ref="G221">_xlfn.IFS(D221&gt;=_xlfn.PERCENTILE.INC($D$2:$D$288,0.8),5,D221&gt;=_xlfn.PERCENTILE.INC($D$2:$D$288,0.6),4,D221&gt;=_xlfn.PERCENTILE.INC($D$2:$D$288,0.4),3,D221&gt;=_xlfn.PERCENTILE.INC($D$2:$D$288,0.2),2,D221&lt;_xlfn.PERCENTILE.INC($D$2:$D$288,0.2),1)</f>
        <v>4</v>
      </c>
      <c r="H221">
        <f t="shared" si="3"/>
        <v>11</v>
      </c>
      <c r="I221" t="str" cm="1">
        <f t="array" ref="I221">_xlfn.IFS(H221&gt;=13,"Best Customers",H221&gt;=10,"Loyal Customers",H221&gt;=7,"Potential Loyal Customers",H221&gt;=4,"Need Attention",TRUE,"At Risk")</f>
        <v>Loyal Customers</v>
      </c>
    </row>
    <row r="222" spans="1:9">
      <c r="A222" t="s">
        <v>136</v>
      </c>
      <c r="B222" s="4">
        <v>76.656990740739275</v>
      </c>
      <c r="C222">
        <v>3</v>
      </c>
      <c r="D222">
        <v>55.25</v>
      </c>
      <c r="E222" s="5" cm="1">
        <f t="array" ref="E222">_xlfn.IFS(B222&lt;=_xlfn.PERCENTILE.INC($B$2:$B$288,0.2),5,B222&lt;=_xlfn.PERCENTILE.INC($B$2:$B$288,0.4),4,B222&lt;=_xlfn.PERCENTILE.INC($B$2:$B$288,0.6),3,B222&lt;=_xlfn.PERCENTILE.INC($B$2:$B$288,0.8),2,B222&gt;_xlfn.PERCENTILE.INC($B$2:$B$288,0.8),1)</f>
        <v>3</v>
      </c>
      <c r="F222" cm="1">
        <f t="array" ref="F222">_xlfn.IFS(C222&gt;=_xlfn.PERCENTILE.INC($C$2:$C$288,0.8),5,C222&gt;=_xlfn.PERCENTILE.INC($C$2:$C$288,0.6),4,C222&gt;=_xlfn.PERCENTILE.INC($C$2:$C$288,0.4),3,C222&gt;=_xlfn.PERCENTILE.INC($C$2:$C$288,0.2),2,C222&lt;_xlfn.PERCENTILE.INC($C$2:$C$288,0.2),1)</f>
        <v>3</v>
      </c>
      <c r="G222" cm="1">
        <f t="array" ref="G222">_xlfn.IFS(D222&gt;=_xlfn.PERCENTILE.INC($D$2:$D$288,0.8),5,D222&gt;=_xlfn.PERCENTILE.INC($D$2:$D$288,0.6),4,D222&gt;=_xlfn.PERCENTILE.INC($D$2:$D$288,0.4),3,D222&gt;=_xlfn.PERCENTILE.INC($D$2:$D$288,0.2),2,D222&lt;_xlfn.PERCENTILE.INC($D$2:$D$288,0.2),1)</f>
        <v>3</v>
      </c>
      <c r="H222">
        <f t="shared" si="3"/>
        <v>9</v>
      </c>
      <c r="I222" t="str" cm="1">
        <f t="array" ref="I222">_xlfn.IFS(H222&gt;=13,"Best Customers",H222&gt;=10,"Loyal Customers",H222&gt;=7,"Potential Loyal Customers",H222&gt;=4,"Need Attention",TRUE,"At Risk")</f>
        <v>Potential Loyal Customers</v>
      </c>
    </row>
    <row r="223" spans="1:9">
      <c r="A223" t="s">
        <v>517</v>
      </c>
      <c r="B223" s="4">
        <v>81.656990740739275</v>
      </c>
      <c r="C223">
        <v>2</v>
      </c>
      <c r="D223">
        <v>9.9400000000000013</v>
      </c>
      <c r="E223" s="5" cm="1">
        <f t="array" ref="E223">_xlfn.IFS(B223&lt;=_xlfn.PERCENTILE.INC($B$2:$B$288,0.2),5,B223&lt;=_xlfn.PERCENTILE.INC($B$2:$B$288,0.4),4,B223&lt;=_xlfn.PERCENTILE.INC($B$2:$B$288,0.6),3,B223&lt;=_xlfn.PERCENTILE.INC($B$2:$B$288,0.8),2,B223&gt;_xlfn.PERCENTILE.INC($B$2:$B$288,0.8),1)</f>
        <v>3</v>
      </c>
      <c r="F223" cm="1">
        <f t="array" ref="F223">_xlfn.IFS(C223&gt;=_xlfn.PERCENTILE.INC($C$2:$C$288,0.8),5,C223&gt;=_xlfn.PERCENTILE.INC($C$2:$C$288,0.6),4,C223&gt;=_xlfn.PERCENTILE.INC($C$2:$C$288,0.4),3,C223&gt;=_xlfn.PERCENTILE.INC($C$2:$C$288,0.2),2,C223&lt;_xlfn.PERCENTILE.INC($C$2:$C$288,0.2),1)</f>
        <v>2</v>
      </c>
      <c r="G223" cm="1">
        <f t="array" ref="G223">_xlfn.IFS(D223&gt;=_xlfn.PERCENTILE.INC($D$2:$D$288,0.8),5,D223&gt;=_xlfn.PERCENTILE.INC($D$2:$D$288,0.6),4,D223&gt;=_xlfn.PERCENTILE.INC($D$2:$D$288,0.4),3,D223&gt;=_xlfn.PERCENTILE.INC($D$2:$D$288,0.2),2,D223&lt;_xlfn.PERCENTILE.INC($D$2:$D$288,0.2),1)</f>
        <v>1</v>
      </c>
      <c r="H223">
        <f t="shared" si="3"/>
        <v>6</v>
      </c>
      <c r="I223" t="str" cm="1">
        <f t="array" ref="I223">_xlfn.IFS(H223&gt;=13,"Best Customers",H223&gt;=10,"Loyal Customers",H223&gt;=7,"Potential Loyal Customers",H223&gt;=4,"Need Attention",TRUE,"At Risk")</f>
        <v>Need Attention</v>
      </c>
    </row>
    <row r="224" spans="1:9">
      <c r="A224" t="s">
        <v>804</v>
      </c>
      <c r="B224" s="4">
        <v>158.65699074073927</v>
      </c>
      <c r="C224">
        <v>3</v>
      </c>
      <c r="D224">
        <v>61.039999999999992</v>
      </c>
      <c r="E224" s="5" cm="1">
        <f t="array" ref="E224">_xlfn.IFS(B224&lt;=_xlfn.PERCENTILE.INC($B$2:$B$288,0.2),5,B224&lt;=_xlfn.PERCENTILE.INC($B$2:$B$288,0.4),4,B224&lt;=_xlfn.PERCENTILE.INC($B$2:$B$288,0.6),3,B224&lt;=_xlfn.PERCENTILE.INC($B$2:$B$288,0.8),2,B224&gt;_xlfn.PERCENTILE.INC($B$2:$B$288,0.8),1)</f>
        <v>2</v>
      </c>
      <c r="F224" cm="1">
        <f t="array" ref="F224">_xlfn.IFS(C224&gt;=_xlfn.PERCENTILE.INC($C$2:$C$288,0.8),5,C224&gt;=_xlfn.PERCENTILE.INC($C$2:$C$288,0.6),4,C224&gt;=_xlfn.PERCENTILE.INC($C$2:$C$288,0.4),3,C224&gt;=_xlfn.PERCENTILE.INC($C$2:$C$288,0.2),2,C224&lt;_xlfn.PERCENTILE.INC($C$2:$C$288,0.2),1)</f>
        <v>3</v>
      </c>
      <c r="G224" cm="1">
        <f t="array" ref="G224">_xlfn.IFS(D224&gt;=_xlfn.PERCENTILE.INC($D$2:$D$288,0.8),5,D224&gt;=_xlfn.PERCENTILE.INC($D$2:$D$288,0.6),4,D224&gt;=_xlfn.PERCENTILE.INC($D$2:$D$288,0.4),3,D224&gt;=_xlfn.PERCENTILE.INC($D$2:$D$288,0.2),2,D224&lt;_xlfn.PERCENTILE.INC($D$2:$D$288,0.2),1)</f>
        <v>3</v>
      </c>
      <c r="H224">
        <f t="shared" si="3"/>
        <v>8</v>
      </c>
      <c r="I224" t="str" cm="1">
        <f t="array" ref="I224">_xlfn.IFS(H224&gt;=13,"Best Customers",H224&gt;=10,"Loyal Customers",H224&gt;=7,"Potential Loyal Customers",H224&gt;=4,"Need Attention",TRUE,"At Risk")</f>
        <v>Potential Loyal Customers</v>
      </c>
    </row>
    <row r="225" spans="1:9">
      <c r="A225" t="s">
        <v>405</v>
      </c>
      <c r="B225" s="4">
        <v>105.65699074073927</v>
      </c>
      <c r="C225">
        <v>2</v>
      </c>
      <c r="D225">
        <v>22.16</v>
      </c>
      <c r="E225" s="5" cm="1">
        <f t="array" ref="E225">_xlfn.IFS(B225&lt;=_xlfn.PERCENTILE.INC($B$2:$B$288,0.2),5,B225&lt;=_xlfn.PERCENTILE.INC($B$2:$B$288,0.4),4,B225&lt;=_xlfn.PERCENTILE.INC($B$2:$B$288,0.6),3,B225&lt;=_xlfn.PERCENTILE.INC($B$2:$B$288,0.8),2,B225&gt;_xlfn.PERCENTILE.INC($B$2:$B$288,0.8),1)</f>
        <v>3</v>
      </c>
      <c r="F225" cm="1">
        <f t="array" ref="F225">_xlfn.IFS(C225&gt;=_xlfn.PERCENTILE.INC($C$2:$C$288,0.8),5,C225&gt;=_xlfn.PERCENTILE.INC($C$2:$C$288,0.6),4,C225&gt;=_xlfn.PERCENTILE.INC($C$2:$C$288,0.4),3,C225&gt;=_xlfn.PERCENTILE.INC($C$2:$C$288,0.2),2,C225&lt;_xlfn.PERCENTILE.INC($C$2:$C$288,0.2),1)</f>
        <v>2</v>
      </c>
      <c r="G225" cm="1">
        <f t="array" ref="G225">_xlfn.IFS(D225&gt;=_xlfn.PERCENTILE.INC($D$2:$D$288,0.8),5,D225&gt;=_xlfn.PERCENTILE.INC($D$2:$D$288,0.6),4,D225&gt;=_xlfn.PERCENTILE.INC($D$2:$D$288,0.4),3,D225&gt;=_xlfn.PERCENTILE.INC($D$2:$D$288,0.2),2,D225&lt;_xlfn.PERCENTILE.INC($D$2:$D$288,0.2),1)</f>
        <v>1</v>
      </c>
      <c r="H225">
        <f t="shared" si="3"/>
        <v>6</v>
      </c>
      <c r="I225" t="str" cm="1">
        <f t="array" ref="I225">_xlfn.IFS(H225&gt;=13,"Best Customers",H225&gt;=10,"Loyal Customers",H225&gt;=7,"Potential Loyal Customers",H225&gt;=4,"Need Attention",TRUE,"At Risk")</f>
        <v>Need Attention</v>
      </c>
    </row>
    <row r="226" spans="1:9">
      <c r="A226" t="s">
        <v>452</v>
      </c>
      <c r="B226" s="4">
        <v>45.656990740739275</v>
      </c>
      <c r="C226">
        <v>2</v>
      </c>
      <c r="D226">
        <v>54.569999999999993</v>
      </c>
      <c r="E226" s="5" cm="1">
        <f t="array" ref="E226">_xlfn.IFS(B226&lt;=_xlfn.PERCENTILE.INC($B$2:$B$288,0.2),5,B226&lt;=_xlfn.PERCENTILE.INC($B$2:$B$288,0.4),4,B226&lt;=_xlfn.PERCENTILE.INC($B$2:$B$288,0.6),3,B226&lt;=_xlfn.PERCENTILE.INC($B$2:$B$288,0.8),2,B226&gt;_xlfn.PERCENTILE.INC($B$2:$B$288,0.8),1)</f>
        <v>4</v>
      </c>
      <c r="F226" cm="1">
        <f t="array" ref="F226">_xlfn.IFS(C226&gt;=_xlfn.PERCENTILE.INC($C$2:$C$288,0.8),5,C226&gt;=_xlfn.PERCENTILE.INC($C$2:$C$288,0.6),4,C226&gt;=_xlfn.PERCENTILE.INC($C$2:$C$288,0.4),3,C226&gt;=_xlfn.PERCENTILE.INC($C$2:$C$288,0.2),2,C226&lt;_xlfn.PERCENTILE.INC($C$2:$C$288,0.2),1)</f>
        <v>2</v>
      </c>
      <c r="G226" cm="1">
        <f t="array" ref="G226">_xlfn.IFS(D226&gt;=_xlfn.PERCENTILE.INC($D$2:$D$288,0.8),5,D226&gt;=_xlfn.PERCENTILE.INC($D$2:$D$288,0.6),4,D226&gt;=_xlfn.PERCENTILE.INC($D$2:$D$288,0.4),3,D226&gt;=_xlfn.PERCENTILE.INC($D$2:$D$288,0.2),2,D226&lt;_xlfn.PERCENTILE.INC($D$2:$D$288,0.2),1)</f>
        <v>3</v>
      </c>
      <c r="H226">
        <f t="shared" si="3"/>
        <v>9</v>
      </c>
      <c r="I226" t="str" cm="1">
        <f t="array" ref="I226">_xlfn.IFS(H226&gt;=13,"Best Customers",H226&gt;=10,"Loyal Customers",H226&gt;=7,"Potential Loyal Customers",H226&gt;=4,"Need Attention",TRUE,"At Risk")</f>
        <v>Potential Loyal Customers</v>
      </c>
    </row>
    <row r="227" spans="1:9">
      <c r="A227" t="s">
        <v>47</v>
      </c>
      <c r="B227" s="4">
        <v>51.656990740739275</v>
      </c>
      <c r="C227">
        <v>5</v>
      </c>
      <c r="D227">
        <v>70.13</v>
      </c>
      <c r="E227" s="5" cm="1">
        <f t="array" ref="E227">_xlfn.IFS(B227&lt;=_xlfn.PERCENTILE.INC($B$2:$B$288,0.2),5,B227&lt;=_xlfn.PERCENTILE.INC($B$2:$B$288,0.4),4,B227&lt;=_xlfn.PERCENTILE.INC($B$2:$B$288,0.6),3,B227&lt;=_xlfn.PERCENTILE.INC($B$2:$B$288,0.8),2,B227&gt;_xlfn.PERCENTILE.INC($B$2:$B$288,0.8),1)</f>
        <v>4</v>
      </c>
      <c r="F227" cm="1">
        <f t="array" ref="F227">_xlfn.IFS(C227&gt;=_xlfn.PERCENTILE.INC($C$2:$C$288,0.8),5,C227&gt;=_xlfn.PERCENTILE.INC($C$2:$C$288,0.6),4,C227&gt;=_xlfn.PERCENTILE.INC($C$2:$C$288,0.4),3,C227&gt;=_xlfn.PERCENTILE.INC($C$2:$C$288,0.2),2,C227&lt;_xlfn.PERCENTILE.INC($C$2:$C$288,0.2),1)</f>
        <v>5</v>
      </c>
      <c r="G227" cm="1">
        <f t="array" ref="G227">_xlfn.IFS(D227&gt;=_xlfn.PERCENTILE.INC($D$2:$D$288,0.8),5,D227&gt;=_xlfn.PERCENTILE.INC($D$2:$D$288,0.6),4,D227&gt;=_xlfn.PERCENTILE.INC($D$2:$D$288,0.4),3,D227&gt;=_xlfn.PERCENTILE.INC($D$2:$D$288,0.2),2,D227&lt;_xlfn.PERCENTILE.INC($D$2:$D$288,0.2),1)</f>
        <v>4</v>
      </c>
      <c r="H227">
        <f t="shared" si="3"/>
        <v>13</v>
      </c>
      <c r="I227" t="str" cm="1">
        <f t="array" ref="I227">_xlfn.IFS(H227&gt;=13,"Best Customers",H227&gt;=10,"Loyal Customers",H227&gt;=7,"Potential Loyal Customers",H227&gt;=4,"Need Attention",TRUE,"At Risk")</f>
        <v>Best Customers</v>
      </c>
    </row>
    <row r="228" spans="1:9">
      <c r="A228" t="s">
        <v>86</v>
      </c>
      <c r="B228" s="4">
        <v>18.656990740739275</v>
      </c>
      <c r="C228">
        <v>5</v>
      </c>
      <c r="D228">
        <v>92.73</v>
      </c>
      <c r="E228" s="5" cm="1">
        <f t="array" ref="E228">_xlfn.IFS(B228&lt;=_xlfn.PERCENTILE.INC($B$2:$B$288,0.2),5,B228&lt;=_xlfn.PERCENTILE.INC($B$2:$B$288,0.4),4,B228&lt;=_xlfn.PERCENTILE.INC($B$2:$B$288,0.6),3,B228&lt;=_xlfn.PERCENTILE.INC($B$2:$B$288,0.8),2,B228&gt;_xlfn.PERCENTILE.INC($B$2:$B$288,0.8),1)</f>
        <v>5</v>
      </c>
      <c r="F228" cm="1">
        <f t="array" ref="F228">_xlfn.IFS(C228&gt;=_xlfn.PERCENTILE.INC($C$2:$C$288,0.8),5,C228&gt;=_xlfn.PERCENTILE.INC($C$2:$C$288,0.6),4,C228&gt;=_xlfn.PERCENTILE.INC($C$2:$C$288,0.4),3,C228&gt;=_xlfn.PERCENTILE.INC($C$2:$C$288,0.2),2,C228&lt;_xlfn.PERCENTILE.INC($C$2:$C$288,0.2),1)</f>
        <v>5</v>
      </c>
      <c r="G228" cm="1">
        <f t="array" ref="G228">_xlfn.IFS(D228&gt;=_xlfn.PERCENTILE.INC($D$2:$D$288,0.8),5,D228&gt;=_xlfn.PERCENTILE.INC($D$2:$D$288,0.6),4,D228&gt;=_xlfn.PERCENTILE.INC($D$2:$D$288,0.4),3,D228&gt;=_xlfn.PERCENTILE.INC($D$2:$D$288,0.2),2,D228&lt;_xlfn.PERCENTILE.INC($D$2:$D$288,0.2),1)</f>
        <v>5</v>
      </c>
      <c r="H228">
        <f t="shared" si="3"/>
        <v>15</v>
      </c>
      <c r="I228" t="str" cm="1">
        <f t="array" ref="I228">_xlfn.IFS(H228&gt;=13,"Best Customers",H228&gt;=10,"Loyal Customers",H228&gt;=7,"Potential Loyal Customers",H228&gt;=4,"Need Attention",TRUE,"At Risk")</f>
        <v>Best Customers</v>
      </c>
    </row>
    <row r="229" spans="1:9">
      <c r="A229" t="s">
        <v>992</v>
      </c>
      <c r="B229" s="4">
        <v>185.65699074073927</v>
      </c>
      <c r="C229">
        <v>1</v>
      </c>
      <c r="D229">
        <v>34.880000000000003</v>
      </c>
      <c r="E229" s="5" cm="1">
        <f t="array" ref="E229">_xlfn.IFS(B229&lt;=_xlfn.PERCENTILE.INC($B$2:$B$288,0.2),5,B229&lt;=_xlfn.PERCENTILE.INC($B$2:$B$288,0.4),4,B229&lt;=_xlfn.PERCENTILE.INC($B$2:$B$288,0.6),3,B229&lt;=_xlfn.PERCENTILE.INC($B$2:$B$288,0.8),2,B229&gt;_xlfn.PERCENTILE.INC($B$2:$B$288,0.8),1)</f>
        <v>2</v>
      </c>
      <c r="F229" cm="1">
        <f t="array" ref="F229">_xlfn.IFS(C229&gt;=_xlfn.PERCENTILE.INC($C$2:$C$288,0.8),5,C229&gt;=_xlfn.PERCENTILE.INC($C$2:$C$288,0.6),4,C229&gt;=_xlfn.PERCENTILE.INC($C$2:$C$288,0.4),3,C229&gt;=_xlfn.PERCENTILE.INC($C$2:$C$288,0.2),2,C229&lt;_xlfn.PERCENTILE.INC($C$2:$C$288,0.2),1)</f>
        <v>1</v>
      </c>
      <c r="G229" cm="1">
        <f t="array" ref="G229">_xlfn.IFS(D229&gt;=_xlfn.PERCENTILE.INC($D$2:$D$288,0.8),5,D229&gt;=_xlfn.PERCENTILE.INC($D$2:$D$288,0.6),4,D229&gt;=_xlfn.PERCENTILE.INC($D$2:$D$288,0.4),3,D229&gt;=_xlfn.PERCENTILE.INC($D$2:$D$288,0.2),2,D229&lt;_xlfn.PERCENTILE.INC($D$2:$D$288,0.2),1)</f>
        <v>2</v>
      </c>
      <c r="H229">
        <f t="shared" si="3"/>
        <v>5</v>
      </c>
      <c r="I229" t="str" cm="1">
        <f t="array" ref="I229">_xlfn.IFS(H229&gt;=13,"Best Customers",H229&gt;=10,"Loyal Customers",H229&gt;=7,"Potential Loyal Customers",H229&gt;=4,"Need Attention",TRUE,"At Risk")</f>
        <v>Need Attention</v>
      </c>
    </row>
    <row r="230" spans="1:9">
      <c r="A230" t="s">
        <v>359</v>
      </c>
      <c r="B230" s="4">
        <v>98.656990740739275</v>
      </c>
      <c r="C230">
        <v>4</v>
      </c>
      <c r="D230">
        <v>85.9</v>
      </c>
      <c r="E230" s="5" cm="1">
        <f t="array" ref="E230">_xlfn.IFS(B230&lt;=_xlfn.PERCENTILE.INC($B$2:$B$288,0.2),5,B230&lt;=_xlfn.PERCENTILE.INC($B$2:$B$288,0.4),4,B230&lt;=_xlfn.PERCENTILE.INC($B$2:$B$288,0.6),3,B230&lt;=_xlfn.PERCENTILE.INC($B$2:$B$288,0.8),2,B230&gt;_xlfn.PERCENTILE.INC($B$2:$B$288,0.8),1)</f>
        <v>3</v>
      </c>
      <c r="F230" cm="1">
        <f t="array" ref="F230">_xlfn.IFS(C230&gt;=_xlfn.PERCENTILE.INC($C$2:$C$288,0.8),5,C230&gt;=_xlfn.PERCENTILE.INC($C$2:$C$288,0.6),4,C230&gt;=_xlfn.PERCENTILE.INC($C$2:$C$288,0.4),3,C230&gt;=_xlfn.PERCENTILE.INC($C$2:$C$288,0.2),2,C230&lt;_xlfn.PERCENTILE.INC($C$2:$C$288,0.2),1)</f>
        <v>4</v>
      </c>
      <c r="G230" cm="1">
        <f t="array" ref="G230">_xlfn.IFS(D230&gt;=_xlfn.PERCENTILE.INC($D$2:$D$288,0.8),5,D230&gt;=_xlfn.PERCENTILE.INC($D$2:$D$288,0.6),4,D230&gt;=_xlfn.PERCENTILE.INC($D$2:$D$288,0.4),3,D230&gt;=_xlfn.PERCENTILE.INC($D$2:$D$288,0.2),2,D230&lt;_xlfn.PERCENTILE.INC($D$2:$D$288,0.2),1)</f>
        <v>4</v>
      </c>
      <c r="H230">
        <f t="shared" si="3"/>
        <v>11</v>
      </c>
      <c r="I230" t="str" cm="1">
        <f t="array" ref="I230">_xlfn.IFS(H230&gt;=13,"Best Customers",H230&gt;=10,"Loyal Customers",H230&gt;=7,"Potential Loyal Customers",H230&gt;=4,"Need Attention",TRUE,"At Risk")</f>
        <v>Loyal Customers</v>
      </c>
    </row>
    <row r="231" spans="1:9">
      <c r="A231" t="s">
        <v>1049</v>
      </c>
      <c r="B231" s="4">
        <v>34.656990740739275</v>
      </c>
      <c r="C231">
        <v>1</v>
      </c>
      <c r="D231">
        <v>12.43</v>
      </c>
      <c r="E231" s="5" cm="1">
        <f t="array" ref="E231">_xlfn.IFS(B231&lt;=_xlfn.PERCENTILE.INC($B$2:$B$288,0.2),5,B231&lt;=_xlfn.PERCENTILE.INC($B$2:$B$288,0.4),4,B231&lt;=_xlfn.PERCENTILE.INC($B$2:$B$288,0.6),3,B231&lt;=_xlfn.PERCENTILE.INC($B$2:$B$288,0.8),2,B231&gt;_xlfn.PERCENTILE.INC($B$2:$B$288,0.8),1)</f>
        <v>5</v>
      </c>
      <c r="F231" cm="1">
        <f t="array" ref="F231">_xlfn.IFS(C231&gt;=_xlfn.PERCENTILE.INC($C$2:$C$288,0.8),5,C231&gt;=_xlfn.PERCENTILE.INC($C$2:$C$288,0.6),4,C231&gt;=_xlfn.PERCENTILE.INC($C$2:$C$288,0.4),3,C231&gt;=_xlfn.PERCENTILE.INC($C$2:$C$288,0.2),2,C231&lt;_xlfn.PERCENTILE.INC($C$2:$C$288,0.2),1)</f>
        <v>1</v>
      </c>
      <c r="G231" cm="1">
        <f t="array" ref="G231">_xlfn.IFS(D231&gt;=_xlfn.PERCENTILE.INC($D$2:$D$288,0.8),5,D231&gt;=_xlfn.PERCENTILE.INC($D$2:$D$288,0.6),4,D231&gt;=_xlfn.PERCENTILE.INC($D$2:$D$288,0.4),3,D231&gt;=_xlfn.PERCENTILE.INC($D$2:$D$288,0.2),2,D231&lt;_xlfn.PERCENTILE.INC($D$2:$D$288,0.2),1)</f>
        <v>1</v>
      </c>
      <c r="H231">
        <f t="shared" si="3"/>
        <v>7</v>
      </c>
      <c r="I231" t="str" cm="1">
        <f t="array" ref="I231">_xlfn.IFS(H231&gt;=13,"Best Customers",H231&gt;=10,"Loyal Customers",H231&gt;=7,"Potential Loyal Customers",H231&gt;=4,"Need Attention",TRUE,"At Risk")</f>
        <v>Potential Loyal Customers</v>
      </c>
    </row>
    <row r="232" spans="1:9">
      <c r="A232" t="s">
        <v>691</v>
      </c>
      <c r="B232" s="4">
        <v>51.656990740739275</v>
      </c>
      <c r="C232">
        <v>3</v>
      </c>
      <c r="D232">
        <v>51.7</v>
      </c>
      <c r="E232" s="5" cm="1">
        <f t="array" ref="E232">_xlfn.IFS(B232&lt;=_xlfn.PERCENTILE.INC($B$2:$B$288,0.2),5,B232&lt;=_xlfn.PERCENTILE.INC($B$2:$B$288,0.4),4,B232&lt;=_xlfn.PERCENTILE.INC($B$2:$B$288,0.6),3,B232&lt;=_xlfn.PERCENTILE.INC($B$2:$B$288,0.8),2,B232&gt;_xlfn.PERCENTILE.INC($B$2:$B$288,0.8),1)</f>
        <v>4</v>
      </c>
      <c r="F232" cm="1">
        <f t="array" ref="F232">_xlfn.IFS(C232&gt;=_xlfn.PERCENTILE.INC($C$2:$C$288,0.8),5,C232&gt;=_xlfn.PERCENTILE.INC($C$2:$C$288,0.6),4,C232&gt;=_xlfn.PERCENTILE.INC($C$2:$C$288,0.4),3,C232&gt;=_xlfn.PERCENTILE.INC($C$2:$C$288,0.2),2,C232&lt;_xlfn.PERCENTILE.INC($C$2:$C$288,0.2),1)</f>
        <v>3</v>
      </c>
      <c r="G232" cm="1">
        <f t="array" ref="G232">_xlfn.IFS(D232&gt;=_xlfn.PERCENTILE.INC($D$2:$D$288,0.8),5,D232&gt;=_xlfn.PERCENTILE.INC($D$2:$D$288,0.6),4,D232&gt;=_xlfn.PERCENTILE.INC($D$2:$D$288,0.4),3,D232&gt;=_xlfn.PERCENTILE.INC($D$2:$D$288,0.2),2,D232&lt;_xlfn.PERCENTILE.INC($D$2:$D$288,0.2),1)</f>
        <v>3</v>
      </c>
      <c r="H232">
        <f t="shared" si="3"/>
        <v>10</v>
      </c>
      <c r="I232" t="str" cm="1">
        <f t="array" ref="I232">_xlfn.IFS(H232&gt;=13,"Best Customers",H232&gt;=10,"Loyal Customers",H232&gt;=7,"Potential Loyal Customers",H232&gt;=4,"Need Attention",TRUE,"At Risk")</f>
        <v>Loyal Customers</v>
      </c>
    </row>
    <row r="233" spans="1:9">
      <c r="A233" t="s">
        <v>820</v>
      </c>
      <c r="B233" s="4">
        <v>27.656990740739275</v>
      </c>
      <c r="C233">
        <v>4</v>
      </c>
      <c r="D233">
        <v>97.14</v>
      </c>
      <c r="E233" s="5" cm="1">
        <f t="array" ref="E233">_xlfn.IFS(B233&lt;=_xlfn.PERCENTILE.INC($B$2:$B$288,0.2),5,B233&lt;=_xlfn.PERCENTILE.INC($B$2:$B$288,0.4),4,B233&lt;=_xlfn.PERCENTILE.INC($B$2:$B$288,0.6),3,B233&lt;=_xlfn.PERCENTILE.INC($B$2:$B$288,0.8),2,B233&gt;_xlfn.PERCENTILE.INC($B$2:$B$288,0.8),1)</f>
        <v>5</v>
      </c>
      <c r="F233" cm="1">
        <f t="array" ref="F233">_xlfn.IFS(C233&gt;=_xlfn.PERCENTILE.INC($C$2:$C$288,0.8),5,C233&gt;=_xlfn.PERCENTILE.INC($C$2:$C$288,0.6),4,C233&gt;=_xlfn.PERCENTILE.INC($C$2:$C$288,0.4),3,C233&gt;=_xlfn.PERCENTILE.INC($C$2:$C$288,0.2),2,C233&lt;_xlfn.PERCENTILE.INC($C$2:$C$288,0.2),1)</f>
        <v>4</v>
      </c>
      <c r="G233" cm="1">
        <f t="array" ref="G233">_xlfn.IFS(D233&gt;=_xlfn.PERCENTILE.INC($D$2:$D$288,0.8),5,D233&gt;=_xlfn.PERCENTILE.INC($D$2:$D$288,0.6),4,D233&gt;=_xlfn.PERCENTILE.INC($D$2:$D$288,0.4),3,D233&gt;=_xlfn.PERCENTILE.INC($D$2:$D$288,0.2),2,D233&lt;_xlfn.PERCENTILE.INC($D$2:$D$288,0.2),1)</f>
        <v>5</v>
      </c>
      <c r="H233">
        <f t="shared" si="3"/>
        <v>14</v>
      </c>
      <c r="I233" t="str" cm="1">
        <f t="array" ref="I233">_xlfn.IFS(H233&gt;=13,"Best Customers",H233&gt;=10,"Loyal Customers",H233&gt;=7,"Potential Loyal Customers",H233&gt;=4,"Need Attention",TRUE,"At Risk")</f>
        <v>Best Customers</v>
      </c>
    </row>
    <row r="234" spans="1:9">
      <c r="A234" t="s">
        <v>179</v>
      </c>
      <c r="B234" s="4">
        <v>143.65699074073927</v>
      </c>
      <c r="C234">
        <v>5</v>
      </c>
      <c r="D234">
        <v>101.22</v>
      </c>
      <c r="E234" s="5" cm="1">
        <f t="array" ref="E234">_xlfn.IFS(B234&lt;=_xlfn.PERCENTILE.INC($B$2:$B$288,0.2),5,B234&lt;=_xlfn.PERCENTILE.INC($B$2:$B$288,0.4),4,B234&lt;=_xlfn.PERCENTILE.INC($B$2:$B$288,0.6),3,B234&lt;=_xlfn.PERCENTILE.INC($B$2:$B$288,0.8),2,B234&gt;_xlfn.PERCENTILE.INC($B$2:$B$288,0.8),1)</f>
        <v>2</v>
      </c>
      <c r="F234" cm="1">
        <f t="array" ref="F234">_xlfn.IFS(C234&gt;=_xlfn.PERCENTILE.INC($C$2:$C$288,0.8),5,C234&gt;=_xlfn.PERCENTILE.INC($C$2:$C$288,0.6),4,C234&gt;=_xlfn.PERCENTILE.INC($C$2:$C$288,0.4),3,C234&gt;=_xlfn.PERCENTILE.INC($C$2:$C$288,0.2),2,C234&lt;_xlfn.PERCENTILE.INC($C$2:$C$288,0.2),1)</f>
        <v>5</v>
      </c>
      <c r="G234" cm="1">
        <f t="array" ref="G234">_xlfn.IFS(D234&gt;=_xlfn.PERCENTILE.INC($D$2:$D$288,0.8),5,D234&gt;=_xlfn.PERCENTILE.INC($D$2:$D$288,0.6),4,D234&gt;=_xlfn.PERCENTILE.INC($D$2:$D$288,0.4),3,D234&gt;=_xlfn.PERCENTILE.INC($D$2:$D$288,0.2),2,D234&lt;_xlfn.PERCENTILE.INC($D$2:$D$288,0.2),1)</f>
        <v>5</v>
      </c>
      <c r="H234">
        <f t="shared" si="3"/>
        <v>12</v>
      </c>
      <c r="I234" t="str" cm="1">
        <f t="array" ref="I234">_xlfn.IFS(H234&gt;=13,"Best Customers",H234&gt;=10,"Loyal Customers",H234&gt;=7,"Potential Loyal Customers",H234&gt;=4,"Need Attention",TRUE,"At Risk")</f>
        <v>Loyal Customers</v>
      </c>
    </row>
    <row r="235" spans="1:9">
      <c r="A235" t="s">
        <v>254</v>
      </c>
      <c r="B235" s="4">
        <v>203.65699074073927</v>
      </c>
      <c r="C235">
        <v>2</v>
      </c>
      <c r="D235">
        <v>33.430000000000007</v>
      </c>
      <c r="E235" s="5" cm="1">
        <f t="array" ref="E235">_xlfn.IFS(B235&lt;=_xlfn.PERCENTILE.INC($B$2:$B$288,0.2),5,B235&lt;=_xlfn.PERCENTILE.INC($B$2:$B$288,0.4),4,B235&lt;=_xlfn.PERCENTILE.INC($B$2:$B$288,0.6),3,B235&lt;=_xlfn.PERCENTILE.INC($B$2:$B$288,0.8),2,B235&gt;_xlfn.PERCENTILE.INC($B$2:$B$288,0.8),1)</f>
        <v>1</v>
      </c>
      <c r="F235" cm="1">
        <f t="array" ref="F235">_xlfn.IFS(C235&gt;=_xlfn.PERCENTILE.INC($C$2:$C$288,0.8),5,C235&gt;=_xlfn.PERCENTILE.INC($C$2:$C$288,0.6),4,C235&gt;=_xlfn.PERCENTILE.INC($C$2:$C$288,0.4),3,C235&gt;=_xlfn.PERCENTILE.INC($C$2:$C$288,0.2),2,C235&lt;_xlfn.PERCENTILE.INC($C$2:$C$288,0.2),1)</f>
        <v>2</v>
      </c>
      <c r="G235" cm="1">
        <f t="array" ref="G235">_xlfn.IFS(D235&gt;=_xlfn.PERCENTILE.INC($D$2:$D$288,0.8),5,D235&gt;=_xlfn.PERCENTILE.INC($D$2:$D$288,0.6),4,D235&gt;=_xlfn.PERCENTILE.INC($D$2:$D$288,0.4),3,D235&gt;=_xlfn.PERCENTILE.INC($D$2:$D$288,0.2),2,D235&lt;_xlfn.PERCENTILE.INC($D$2:$D$288,0.2),1)</f>
        <v>2</v>
      </c>
      <c r="H235">
        <f t="shared" si="3"/>
        <v>5</v>
      </c>
      <c r="I235" t="str" cm="1">
        <f t="array" ref="I235">_xlfn.IFS(H235&gt;=13,"Best Customers",H235&gt;=10,"Loyal Customers",H235&gt;=7,"Potential Loyal Customers",H235&gt;=4,"Need Attention",TRUE,"At Risk")</f>
        <v>Need Attention</v>
      </c>
    </row>
    <row r="236" spans="1:9">
      <c r="A236" t="s">
        <v>642</v>
      </c>
      <c r="B236" s="4">
        <v>27.656990740739275</v>
      </c>
      <c r="C236">
        <v>3</v>
      </c>
      <c r="D236">
        <v>70.489999999999995</v>
      </c>
      <c r="E236" s="5" cm="1">
        <f t="array" ref="E236">_xlfn.IFS(B236&lt;=_xlfn.PERCENTILE.INC($B$2:$B$288,0.2),5,B236&lt;=_xlfn.PERCENTILE.INC($B$2:$B$288,0.4),4,B236&lt;=_xlfn.PERCENTILE.INC($B$2:$B$288,0.6),3,B236&lt;=_xlfn.PERCENTILE.INC($B$2:$B$288,0.8),2,B236&gt;_xlfn.PERCENTILE.INC($B$2:$B$288,0.8),1)</f>
        <v>5</v>
      </c>
      <c r="F236" cm="1">
        <f t="array" ref="F236">_xlfn.IFS(C236&gt;=_xlfn.PERCENTILE.INC($C$2:$C$288,0.8),5,C236&gt;=_xlfn.PERCENTILE.INC($C$2:$C$288,0.6),4,C236&gt;=_xlfn.PERCENTILE.INC($C$2:$C$288,0.4),3,C236&gt;=_xlfn.PERCENTILE.INC($C$2:$C$288,0.2),2,C236&lt;_xlfn.PERCENTILE.INC($C$2:$C$288,0.2),1)</f>
        <v>3</v>
      </c>
      <c r="G236" cm="1">
        <f t="array" ref="G236">_xlfn.IFS(D236&gt;=_xlfn.PERCENTILE.INC($D$2:$D$288,0.8),5,D236&gt;=_xlfn.PERCENTILE.INC($D$2:$D$288,0.6),4,D236&gt;=_xlfn.PERCENTILE.INC($D$2:$D$288,0.4),3,D236&gt;=_xlfn.PERCENTILE.INC($D$2:$D$288,0.2),2,D236&lt;_xlfn.PERCENTILE.INC($D$2:$D$288,0.2),1)</f>
        <v>4</v>
      </c>
      <c r="H236">
        <f t="shared" si="3"/>
        <v>12</v>
      </c>
      <c r="I236" t="str" cm="1">
        <f t="array" ref="I236">_xlfn.IFS(H236&gt;=13,"Best Customers",H236&gt;=10,"Loyal Customers",H236&gt;=7,"Potential Loyal Customers",H236&gt;=4,"Need Attention",TRUE,"At Risk")</f>
        <v>Loyal Customers</v>
      </c>
    </row>
    <row r="237" spans="1:9">
      <c r="A237" t="s">
        <v>448</v>
      </c>
      <c r="B237" s="4">
        <v>180.65699074073927</v>
      </c>
      <c r="C237">
        <v>3</v>
      </c>
      <c r="D237">
        <v>37.870000000000005</v>
      </c>
      <c r="E237" s="5" cm="1">
        <f t="array" ref="E237">_xlfn.IFS(B237&lt;=_xlfn.PERCENTILE.INC($B$2:$B$288,0.2),5,B237&lt;=_xlfn.PERCENTILE.INC($B$2:$B$288,0.4),4,B237&lt;=_xlfn.PERCENTILE.INC($B$2:$B$288,0.6),3,B237&lt;=_xlfn.PERCENTILE.INC($B$2:$B$288,0.8),2,B237&gt;_xlfn.PERCENTILE.INC($B$2:$B$288,0.8),1)</f>
        <v>2</v>
      </c>
      <c r="F237" cm="1">
        <f t="array" ref="F237">_xlfn.IFS(C237&gt;=_xlfn.PERCENTILE.INC($C$2:$C$288,0.8),5,C237&gt;=_xlfn.PERCENTILE.INC($C$2:$C$288,0.6),4,C237&gt;=_xlfn.PERCENTILE.INC($C$2:$C$288,0.4),3,C237&gt;=_xlfn.PERCENTILE.INC($C$2:$C$288,0.2),2,C237&lt;_xlfn.PERCENTILE.INC($C$2:$C$288,0.2),1)</f>
        <v>3</v>
      </c>
      <c r="G237" cm="1">
        <f t="array" ref="G237">_xlfn.IFS(D237&gt;=_xlfn.PERCENTILE.INC($D$2:$D$288,0.8),5,D237&gt;=_xlfn.PERCENTILE.INC($D$2:$D$288,0.6),4,D237&gt;=_xlfn.PERCENTILE.INC($D$2:$D$288,0.4),3,D237&gt;=_xlfn.PERCENTILE.INC($D$2:$D$288,0.2),2,D237&lt;_xlfn.PERCENTILE.INC($D$2:$D$288,0.2),1)</f>
        <v>2</v>
      </c>
      <c r="H237">
        <f t="shared" si="3"/>
        <v>7</v>
      </c>
      <c r="I237" t="str" cm="1">
        <f t="array" ref="I237">_xlfn.IFS(H237&gt;=13,"Best Customers",H237&gt;=10,"Loyal Customers",H237&gt;=7,"Potential Loyal Customers",H237&gt;=4,"Need Attention",TRUE,"At Risk")</f>
        <v>Potential Loyal Customers</v>
      </c>
    </row>
    <row r="238" spans="1:9">
      <c r="A238" t="s">
        <v>351</v>
      </c>
      <c r="B238" s="4">
        <v>77.656990740739275</v>
      </c>
      <c r="C238">
        <v>2</v>
      </c>
      <c r="D238">
        <v>11.96</v>
      </c>
      <c r="E238" s="5" cm="1">
        <f t="array" ref="E238">_xlfn.IFS(B238&lt;=_xlfn.PERCENTILE.INC($B$2:$B$288,0.2),5,B238&lt;=_xlfn.PERCENTILE.INC($B$2:$B$288,0.4),4,B238&lt;=_xlfn.PERCENTILE.INC($B$2:$B$288,0.6),3,B238&lt;=_xlfn.PERCENTILE.INC($B$2:$B$288,0.8),2,B238&gt;_xlfn.PERCENTILE.INC($B$2:$B$288,0.8),1)</f>
        <v>3</v>
      </c>
      <c r="F238" cm="1">
        <f t="array" ref="F238">_xlfn.IFS(C238&gt;=_xlfn.PERCENTILE.INC($C$2:$C$288,0.8),5,C238&gt;=_xlfn.PERCENTILE.INC($C$2:$C$288,0.6),4,C238&gt;=_xlfn.PERCENTILE.INC($C$2:$C$288,0.4),3,C238&gt;=_xlfn.PERCENTILE.INC($C$2:$C$288,0.2),2,C238&lt;_xlfn.PERCENTILE.INC($C$2:$C$288,0.2),1)</f>
        <v>2</v>
      </c>
      <c r="G238" cm="1">
        <f t="array" ref="G238">_xlfn.IFS(D238&gt;=_xlfn.PERCENTILE.INC($D$2:$D$288,0.8),5,D238&gt;=_xlfn.PERCENTILE.INC($D$2:$D$288,0.6),4,D238&gt;=_xlfn.PERCENTILE.INC($D$2:$D$288,0.4),3,D238&gt;=_xlfn.PERCENTILE.INC($D$2:$D$288,0.2),2,D238&lt;_xlfn.PERCENTILE.INC($D$2:$D$288,0.2),1)</f>
        <v>1</v>
      </c>
      <c r="H238">
        <f t="shared" si="3"/>
        <v>6</v>
      </c>
      <c r="I238" t="str" cm="1">
        <f t="array" ref="I238">_xlfn.IFS(H238&gt;=13,"Best Customers",H238&gt;=10,"Loyal Customers",H238&gt;=7,"Potential Loyal Customers",H238&gt;=4,"Need Attention",TRUE,"At Risk")</f>
        <v>Need Attention</v>
      </c>
    </row>
    <row r="239" spans="1:9">
      <c r="A239" t="s">
        <v>357</v>
      </c>
      <c r="B239" s="4">
        <v>118.65699074073927</v>
      </c>
      <c r="C239">
        <v>2</v>
      </c>
      <c r="D239">
        <v>49.29</v>
      </c>
      <c r="E239" s="5" cm="1">
        <f t="array" ref="E239">_xlfn.IFS(B239&lt;=_xlfn.PERCENTILE.INC($B$2:$B$288,0.2),5,B239&lt;=_xlfn.PERCENTILE.INC($B$2:$B$288,0.4),4,B239&lt;=_xlfn.PERCENTILE.INC($B$2:$B$288,0.6),3,B239&lt;=_xlfn.PERCENTILE.INC($B$2:$B$288,0.8),2,B239&gt;_xlfn.PERCENTILE.INC($B$2:$B$288,0.8),1)</f>
        <v>3</v>
      </c>
      <c r="F239" cm="1">
        <f t="array" ref="F239">_xlfn.IFS(C239&gt;=_xlfn.PERCENTILE.INC($C$2:$C$288,0.8),5,C239&gt;=_xlfn.PERCENTILE.INC($C$2:$C$288,0.6),4,C239&gt;=_xlfn.PERCENTILE.INC($C$2:$C$288,0.4),3,C239&gt;=_xlfn.PERCENTILE.INC($C$2:$C$288,0.2),2,C239&lt;_xlfn.PERCENTILE.INC($C$2:$C$288,0.2),1)</f>
        <v>2</v>
      </c>
      <c r="G239" cm="1">
        <f t="array" ref="G239">_xlfn.IFS(D239&gt;=_xlfn.PERCENTILE.INC($D$2:$D$288,0.8),5,D239&gt;=_xlfn.PERCENTILE.INC($D$2:$D$288,0.6),4,D239&gt;=_xlfn.PERCENTILE.INC($D$2:$D$288,0.4),3,D239&gt;=_xlfn.PERCENTILE.INC($D$2:$D$288,0.2),2,D239&lt;_xlfn.PERCENTILE.INC($D$2:$D$288,0.2),1)</f>
        <v>3</v>
      </c>
      <c r="H239">
        <f t="shared" si="3"/>
        <v>8</v>
      </c>
      <c r="I239" t="str" cm="1">
        <f t="array" ref="I239">_xlfn.IFS(H239&gt;=13,"Best Customers",H239&gt;=10,"Loyal Customers",H239&gt;=7,"Potential Loyal Customers",H239&gt;=4,"Need Attention",TRUE,"At Risk")</f>
        <v>Potential Loyal Customers</v>
      </c>
    </row>
    <row r="240" spans="1:9">
      <c r="A240" t="s">
        <v>528</v>
      </c>
      <c r="B240" s="4">
        <v>96.656990740739275</v>
      </c>
      <c r="C240">
        <v>3</v>
      </c>
      <c r="D240">
        <v>47.45</v>
      </c>
      <c r="E240" s="5" cm="1">
        <f t="array" ref="E240">_xlfn.IFS(B240&lt;=_xlfn.PERCENTILE.INC($B$2:$B$288,0.2),5,B240&lt;=_xlfn.PERCENTILE.INC($B$2:$B$288,0.4),4,B240&lt;=_xlfn.PERCENTILE.INC($B$2:$B$288,0.6),3,B240&lt;=_xlfn.PERCENTILE.INC($B$2:$B$288,0.8),2,B240&gt;_xlfn.PERCENTILE.INC($B$2:$B$288,0.8),1)</f>
        <v>3</v>
      </c>
      <c r="F240" cm="1">
        <f t="array" ref="F240">_xlfn.IFS(C240&gt;=_xlfn.PERCENTILE.INC($C$2:$C$288,0.8),5,C240&gt;=_xlfn.PERCENTILE.INC($C$2:$C$288,0.6),4,C240&gt;=_xlfn.PERCENTILE.INC($C$2:$C$288,0.4),3,C240&gt;=_xlfn.PERCENTILE.INC($C$2:$C$288,0.2),2,C240&lt;_xlfn.PERCENTILE.INC($C$2:$C$288,0.2),1)</f>
        <v>3</v>
      </c>
      <c r="G240" cm="1">
        <f t="array" ref="G240">_xlfn.IFS(D240&gt;=_xlfn.PERCENTILE.INC($D$2:$D$288,0.8),5,D240&gt;=_xlfn.PERCENTILE.INC($D$2:$D$288,0.6),4,D240&gt;=_xlfn.PERCENTILE.INC($D$2:$D$288,0.4),3,D240&gt;=_xlfn.PERCENTILE.INC($D$2:$D$288,0.2),2,D240&lt;_xlfn.PERCENTILE.INC($D$2:$D$288,0.2),1)</f>
        <v>3</v>
      </c>
      <c r="H240">
        <f t="shared" si="3"/>
        <v>9</v>
      </c>
      <c r="I240" t="str" cm="1">
        <f t="array" ref="I240">_xlfn.IFS(H240&gt;=13,"Best Customers",H240&gt;=10,"Loyal Customers",H240&gt;=7,"Potential Loyal Customers",H240&gt;=4,"Need Attention",TRUE,"At Risk")</f>
        <v>Potential Loyal Customers</v>
      </c>
    </row>
    <row r="241" spans="1:9">
      <c r="A241" t="s">
        <v>268</v>
      </c>
      <c r="B241" s="4">
        <v>40.656990740739275</v>
      </c>
      <c r="C241">
        <v>7</v>
      </c>
      <c r="D241">
        <v>123.67</v>
      </c>
      <c r="E241" s="5" cm="1">
        <f t="array" ref="E241">_xlfn.IFS(B241&lt;=_xlfn.PERCENTILE.INC($B$2:$B$288,0.2),5,B241&lt;=_xlfn.PERCENTILE.INC($B$2:$B$288,0.4),4,B241&lt;=_xlfn.PERCENTILE.INC($B$2:$B$288,0.6),3,B241&lt;=_xlfn.PERCENTILE.INC($B$2:$B$288,0.8),2,B241&gt;_xlfn.PERCENTILE.INC($B$2:$B$288,0.8),1)</f>
        <v>5</v>
      </c>
      <c r="F241" cm="1">
        <f t="array" ref="F241">_xlfn.IFS(C241&gt;=_xlfn.PERCENTILE.INC($C$2:$C$288,0.8),5,C241&gt;=_xlfn.PERCENTILE.INC($C$2:$C$288,0.6),4,C241&gt;=_xlfn.PERCENTILE.INC($C$2:$C$288,0.4),3,C241&gt;=_xlfn.PERCENTILE.INC($C$2:$C$288,0.2),2,C241&lt;_xlfn.PERCENTILE.INC($C$2:$C$288,0.2),1)</f>
        <v>5</v>
      </c>
      <c r="G241" cm="1">
        <f t="array" ref="G241">_xlfn.IFS(D241&gt;=_xlfn.PERCENTILE.INC($D$2:$D$288,0.8),5,D241&gt;=_xlfn.PERCENTILE.INC($D$2:$D$288,0.6),4,D241&gt;=_xlfn.PERCENTILE.INC($D$2:$D$288,0.4),3,D241&gt;=_xlfn.PERCENTILE.INC($D$2:$D$288,0.2),2,D241&lt;_xlfn.PERCENTILE.INC($D$2:$D$288,0.2),1)</f>
        <v>5</v>
      </c>
      <c r="H241">
        <f t="shared" si="3"/>
        <v>15</v>
      </c>
      <c r="I241" t="str" cm="1">
        <f t="array" ref="I241">_xlfn.IFS(H241&gt;=13,"Best Customers",H241&gt;=10,"Loyal Customers",H241&gt;=7,"Potential Loyal Customers",H241&gt;=4,"Need Attention",TRUE,"At Risk")</f>
        <v>Best Customers</v>
      </c>
    </row>
    <row r="242" spans="1:9">
      <c r="A242" t="s">
        <v>143</v>
      </c>
      <c r="B242" s="4">
        <v>246.65699074073927</v>
      </c>
      <c r="C242">
        <v>2</v>
      </c>
      <c r="D242">
        <v>21.060000000000002</v>
      </c>
      <c r="E242" s="5" cm="1">
        <f t="array" ref="E242">_xlfn.IFS(B242&lt;=_xlfn.PERCENTILE.INC($B$2:$B$288,0.2),5,B242&lt;=_xlfn.PERCENTILE.INC($B$2:$B$288,0.4),4,B242&lt;=_xlfn.PERCENTILE.INC($B$2:$B$288,0.6),3,B242&lt;=_xlfn.PERCENTILE.INC($B$2:$B$288,0.8),2,B242&gt;_xlfn.PERCENTILE.INC($B$2:$B$288,0.8),1)</f>
        <v>1</v>
      </c>
      <c r="F242" cm="1">
        <f t="array" ref="F242">_xlfn.IFS(C242&gt;=_xlfn.PERCENTILE.INC($C$2:$C$288,0.8),5,C242&gt;=_xlfn.PERCENTILE.INC($C$2:$C$288,0.6),4,C242&gt;=_xlfn.PERCENTILE.INC($C$2:$C$288,0.4),3,C242&gt;=_xlfn.PERCENTILE.INC($C$2:$C$288,0.2),2,C242&lt;_xlfn.PERCENTILE.INC($C$2:$C$288,0.2),1)</f>
        <v>2</v>
      </c>
      <c r="G242" cm="1">
        <f t="array" ref="G242">_xlfn.IFS(D242&gt;=_xlfn.PERCENTILE.INC($D$2:$D$288,0.8),5,D242&gt;=_xlfn.PERCENTILE.INC($D$2:$D$288,0.6),4,D242&gt;=_xlfn.PERCENTILE.INC($D$2:$D$288,0.4),3,D242&gt;=_xlfn.PERCENTILE.INC($D$2:$D$288,0.2),2,D242&lt;_xlfn.PERCENTILE.INC($D$2:$D$288,0.2),1)</f>
        <v>1</v>
      </c>
      <c r="H242">
        <f t="shared" si="3"/>
        <v>4</v>
      </c>
      <c r="I242" t="str" cm="1">
        <f t="array" ref="I242">_xlfn.IFS(H242&gt;=13,"Best Customers",H242&gt;=10,"Loyal Customers",H242&gt;=7,"Potential Loyal Customers",H242&gt;=4,"Need Attention",TRUE,"At Risk")</f>
        <v>Need Attention</v>
      </c>
    </row>
    <row r="243" spans="1:9">
      <c r="A243" t="s">
        <v>353</v>
      </c>
      <c r="B243" s="4">
        <v>269.65699074073927</v>
      </c>
      <c r="C243">
        <v>1</v>
      </c>
      <c r="D243">
        <v>11.89</v>
      </c>
      <c r="E243" s="5" cm="1">
        <f t="array" ref="E243">_xlfn.IFS(B243&lt;=_xlfn.PERCENTILE.INC($B$2:$B$288,0.2),5,B243&lt;=_xlfn.PERCENTILE.INC($B$2:$B$288,0.4),4,B243&lt;=_xlfn.PERCENTILE.INC($B$2:$B$288,0.6),3,B243&lt;=_xlfn.PERCENTILE.INC($B$2:$B$288,0.8),2,B243&gt;_xlfn.PERCENTILE.INC($B$2:$B$288,0.8),1)</f>
        <v>1</v>
      </c>
      <c r="F243" cm="1">
        <f t="array" ref="F243">_xlfn.IFS(C243&gt;=_xlfn.PERCENTILE.INC($C$2:$C$288,0.8),5,C243&gt;=_xlfn.PERCENTILE.INC($C$2:$C$288,0.6),4,C243&gt;=_xlfn.PERCENTILE.INC($C$2:$C$288,0.4),3,C243&gt;=_xlfn.PERCENTILE.INC($C$2:$C$288,0.2),2,C243&lt;_xlfn.PERCENTILE.INC($C$2:$C$288,0.2),1)</f>
        <v>1</v>
      </c>
      <c r="G243" cm="1">
        <f t="array" ref="G243">_xlfn.IFS(D243&gt;=_xlfn.PERCENTILE.INC($D$2:$D$288,0.8),5,D243&gt;=_xlfn.PERCENTILE.INC($D$2:$D$288,0.6),4,D243&gt;=_xlfn.PERCENTILE.INC($D$2:$D$288,0.4),3,D243&gt;=_xlfn.PERCENTILE.INC($D$2:$D$288,0.2),2,D243&lt;_xlfn.PERCENTILE.INC($D$2:$D$288,0.2),1)</f>
        <v>1</v>
      </c>
      <c r="H243">
        <f t="shared" si="3"/>
        <v>3</v>
      </c>
      <c r="I243" t="str" cm="1">
        <f t="array" ref="I243">_xlfn.IFS(H243&gt;=13,"Best Customers",H243&gt;=10,"Loyal Customers",H243&gt;=7,"Potential Loyal Customers",H243&gt;=4,"Need Attention",TRUE,"At Risk")</f>
        <v>At Risk</v>
      </c>
    </row>
    <row r="244" spans="1:9">
      <c r="A244" t="s">
        <v>415</v>
      </c>
      <c r="B244" s="4">
        <v>123.65699074073927</v>
      </c>
      <c r="C244">
        <v>1</v>
      </c>
      <c r="D244">
        <v>4.12</v>
      </c>
      <c r="E244" s="5" cm="1">
        <f t="array" ref="E244">_xlfn.IFS(B244&lt;=_xlfn.PERCENTILE.INC($B$2:$B$288,0.2),5,B244&lt;=_xlfn.PERCENTILE.INC($B$2:$B$288,0.4),4,B244&lt;=_xlfn.PERCENTILE.INC($B$2:$B$288,0.6),3,B244&lt;=_xlfn.PERCENTILE.INC($B$2:$B$288,0.8),2,B244&gt;_xlfn.PERCENTILE.INC($B$2:$B$288,0.8),1)</f>
        <v>2</v>
      </c>
      <c r="F244" cm="1">
        <f t="array" ref="F244">_xlfn.IFS(C244&gt;=_xlfn.PERCENTILE.INC($C$2:$C$288,0.8),5,C244&gt;=_xlfn.PERCENTILE.INC($C$2:$C$288,0.6),4,C244&gt;=_xlfn.PERCENTILE.INC($C$2:$C$288,0.4),3,C244&gt;=_xlfn.PERCENTILE.INC($C$2:$C$288,0.2),2,C244&lt;_xlfn.PERCENTILE.INC($C$2:$C$288,0.2),1)</f>
        <v>1</v>
      </c>
      <c r="G244" cm="1">
        <f t="array" ref="G244">_xlfn.IFS(D244&gt;=_xlfn.PERCENTILE.INC($D$2:$D$288,0.8),5,D244&gt;=_xlfn.PERCENTILE.INC($D$2:$D$288,0.6),4,D244&gt;=_xlfn.PERCENTILE.INC($D$2:$D$288,0.4),3,D244&gt;=_xlfn.PERCENTILE.INC($D$2:$D$288,0.2),2,D244&lt;_xlfn.PERCENTILE.INC($D$2:$D$288,0.2),1)</f>
        <v>1</v>
      </c>
      <c r="H244">
        <f t="shared" si="3"/>
        <v>4</v>
      </c>
      <c r="I244" t="str" cm="1">
        <f t="array" ref="I244">_xlfn.IFS(H244&gt;=13,"Best Customers",H244&gt;=10,"Loyal Customers",H244&gt;=7,"Potential Loyal Customers",H244&gt;=4,"Need Attention",TRUE,"At Risk")</f>
        <v>Need Attention</v>
      </c>
    </row>
    <row r="245" spans="1:9">
      <c r="A245" t="s">
        <v>233</v>
      </c>
      <c r="B245" s="4">
        <v>42.656990740739275</v>
      </c>
      <c r="C245">
        <v>5</v>
      </c>
      <c r="D245">
        <v>84.58</v>
      </c>
      <c r="E245" s="5" cm="1">
        <f t="array" ref="E245">_xlfn.IFS(B245&lt;=_xlfn.PERCENTILE.INC($B$2:$B$288,0.2),5,B245&lt;=_xlfn.PERCENTILE.INC($B$2:$B$288,0.4),4,B245&lt;=_xlfn.PERCENTILE.INC($B$2:$B$288,0.6),3,B245&lt;=_xlfn.PERCENTILE.INC($B$2:$B$288,0.8),2,B245&gt;_xlfn.PERCENTILE.INC($B$2:$B$288,0.8),1)</f>
        <v>4</v>
      </c>
      <c r="F245" cm="1">
        <f t="array" ref="F245">_xlfn.IFS(C245&gt;=_xlfn.PERCENTILE.INC($C$2:$C$288,0.8),5,C245&gt;=_xlfn.PERCENTILE.INC($C$2:$C$288,0.6),4,C245&gt;=_xlfn.PERCENTILE.INC($C$2:$C$288,0.4),3,C245&gt;=_xlfn.PERCENTILE.INC($C$2:$C$288,0.2),2,C245&lt;_xlfn.PERCENTILE.INC($C$2:$C$288,0.2),1)</f>
        <v>5</v>
      </c>
      <c r="G245" cm="1">
        <f t="array" ref="G245">_xlfn.IFS(D245&gt;=_xlfn.PERCENTILE.INC($D$2:$D$288,0.8),5,D245&gt;=_xlfn.PERCENTILE.INC($D$2:$D$288,0.6),4,D245&gt;=_xlfn.PERCENTILE.INC($D$2:$D$288,0.4),3,D245&gt;=_xlfn.PERCENTILE.INC($D$2:$D$288,0.2),2,D245&lt;_xlfn.PERCENTILE.INC($D$2:$D$288,0.2),1)</f>
        <v>4</v>
      </c>
      <c r="H245">
        <f t="shared" si="3"/>
        <v>13</v>
      </c>
      <c r="I245" t="str" cm="1">
        <f t="array" ref="I245">_xlfn.IFS(H245&gt;=13,"Best Customers",H245&gt;=10,"Loyal Customers",H245&gt;=7,"Potential Loyal Customers",H245&gt;=4,"Need Attention",TRUE,"At Risk")</f>
        <v>Best Customers</v>
      </c>
    </row>
    <row r="246" spans="1:9">
      <c r="A246" t="s">
        <v>791</v>
      </c>
      <c r="B246" s="4">
        <v>268.65699074073927</v>
      </c>
      <c r="C246">
        <v>1</v>
      </c>
      <c r="D246">
        <v>12.22</v>
      </c>
      <c r="E246" s="5" cm="1">
        <f t="array" ref="E246">_xlfn.IFS(B246&lt;=_xlfn.PERCENTILE.INC($B$2:$B$288,0.2),5,B246&lt;=_xlfn.PERCENTILE.INC($B$2:$B$288,0.4),4,B246&lt;=_xlfn.PERCENTILE.INC($B$2:$B$288,0.6),3,B246&lt;=_xlfn.PERCENTILE.INC($B$2:$B$288,0.8),2,B246&gt;_xlfn.PERCENTILE.INC($B$2:$B$288,0.8),1)</f>
        <v>1</v>
      </c>
      <c r="F246" cm="1">
        <f t="array" ref="F246">_xlfn.IFS(C246&gt;=_xlfn.PERCENTILE.INC($C$2:$C$288,0.8),5,C246&gt;=_xlfn.PERCENTILE.INC($C$2:$C$288,0.6),4,C246&gt;=_xlfn.PERCENTILE.INC($C$2:$C$288,0.4),3,C246&gt;=_xlfn.PERCENTILE.INC($C$2:$C$288,0.2),2,C246&lt;_xlfn.PERCENTILE.INC($C$2:$C$288,0.2),1)</f>
        <v>1</v>
      </c>
      <c r="G246" cm="1">
        <f t="array" ref="G246">_xlfn.IFS(D246&gt;=_xlfn.PERCENTILE.INC($D$2:$D$288,0.8),5,D246&gt;=_xlfn.PERCENTILE.INC($D$2:$D$288,0.6),4,D246&gt;=_xlfn.PERCENTILE.INC($D$2:$D$288,0.4),3,D246&gt;=_xlfn.PERCENTILE.INC($D$2:$D$288,0.2),2,D246&lt;_xlfn.PERCENTILE.INC($D$2:$D$288,0.2),1)</f>
        <v>1</v>
      </c>
      <c r="H246">
        <f t="shared" si="3"/>
        <v>3</v>
      </c>
      <c r="I246" t="str" cm="1">
        <f t="array" ref="I246">_xlfn.IFS(H246&gt;=13,"Best Customers",H246&gt;=10,"Loyal Customers",H246&gt;=7,"Potential Loyal Customers",H246&gt;=4,"Need Attention",TRUE,"At Risk")</f>
        <v>At Risk</v>
      </c>
    </row>
    <row r="247" spans="1:9">
      <c r="A247" t="s">
        <v>6</v>
      </c>
      <c r="B247" s="4">
        <v>264.65699074073927</v>
      </c>
      <c r="C247">
        <v>2</v>
      </c>
      <c r="D247">
        <v>59.36</v>
      </c>
      <c r="E247" s="5" cm="1">
        <f t="array" ref="E247">_xlfn.IFS(B247&lt;=_xlfn.PERCENTILE.INC($B$2:$B$288,0.2),5,B247&lt;=_xlfn.PERCENTILE.INC($B$2:$B$288,0.4),4,B247&lt;=_xlfn.PERCENTILE.INC($B$2:$B$288,0.6),3,B247&lt;=_xlfn.PERCENTILE.INC($B$2:$B$288,0.8),2,B247&gt;_xlfn.PERCENTILE.INC($B$2:$B$288,0.8),1)</f>
        <v>1</v>
      </c>
      <c r="F247" cm="1">
        <f t="array" ref="F247">_xlfn.IFS(C247&gt;=_xlfn.PERCENTILE.INC($C$2:$C$288,0.8),5,C247&gt;=_xlfn.PERCENTILE.INC($C$2:$C$288,0.6),4,C247&gt;=_xlfn.PERCENTILE.INC($C$2:$C$288,0.4),3,C247&gt;=_xlfn.PERCENTILE.INC($C$2:$C$288,0.2),2,C247&lt;_xlfn.PERCENTILE.INC($C$2:$C$288,0.2),1)</f>
        <v>2</v>
      </c>
      <c r="G247" cm="1">
        <f t="array" ref="G247">_xlfn.IFS(D247&gt;=_xlfn.PERCENTILE.INC($D$2:$D$288,0.8),5,D247&gt;=_xlfn.PERCENTILE.INC($D$2:$D$288,0.6),4,D247&gt;=_xlfn.PERCENTILE.INC($D$2:$D$288,0.4),3,D247&gt;=_xlfn.PERCENTILE.INC($D$2:$D$288,0.2),2,D247&lt;_xlfn.PERCENTILE.INC($D$2:$D$288,0.2),1)</f>
        <v>3</v>
      </c>
      <c r="H247">
        <f t="shared" si="3"/>
        <v>6</v>
      </c>
      <c r="I247" t="str" cm="1">
        <f t="array" ref="I247">_xlfn.IFS(H247&gt;=13,"Best Customers",H247&gt;=10,"Loyal Customers",H247&gt;=7,"Potential Loyal Customers",H247&gt;=4,"Need Attention",TRUE,"At Risk")</f>
        <v>Need Attention</v>
      </c>
    </row>
    <row r="248" spans="1:9">
      <c r="A248" t="s">
        <v>679</v>
      </c>
      <c r="B248" s="4">
        <v>103.65699074073927</v>
      </c>
      <c r="C248">
        <v>1</v>
      </c>
      <c r="D248">
        <v>33.6</v>
      </c>
      <c r="E248" s="5" cm="1">
        <f t="array" ref="E248">_xlfn.IFS(B248&lt;=_xlfn.PERCENTILE.INC($B$2:$B$288,0.2),5,B248&lt;=_xlfn.PERCENTILE.INC($B$2:$B$288,0.4),4,B248&lt;=_xlfn.PERCENTILE.INC($B$2:$B$288,0.6),3,B248&lt;=_xlfn.PERCENTILE.INC($B$2:$B$288,0.8),2,B248&gt;_xlfn.PERCENTILE.INC($B$2:$B$288,0.8),1)</f>
        <v>3</v>
      </c>
      <c r="F248" cm="1">
        <f t="array" ref="F248">_xlfn.IFS(C248&gt;=_xlfn.PERCENTILE.INC($C$2:$C$288,0.8),5,C248&gt;=_xlfn.PERCENTILE.INC($C$2:$C$288,0.6),4,C248&gt;=_xlfn.PERCENTILE.INC($C$2:$C$288,0.4),3,C248&gt;=_xlfn.PERCENTILE.INC($C$2:$C$288,0.2),2,C248&lt;_xlfn.PERCENTILE.INC($C$2:$C$288,0.2),1)</f>
        <v>1</v>
      </c>
      <c r="G248" cm="1">
        <f t="array" ref="G248">_xlfn.IFS(D248&gt;=_xlfn.PERCENTILE.INC($D$2:$D$288,0.8),5,D248&gt;=_xlfn.PERCENTILE.INC($D$2:$D$288,0.6),4,D248&gt;=_xlfn.PERCENTILE.INC($D$2:$D$288,0.4),3,D248&gt;=_xlfn.PERCENTILE.INC($D$2:$D$288,0.2),2,D248&lt;_xlfn.PERCENTILE.INC($D$2:$D$288,0.2),1)</f>
        <v>2</v>
      </c>
      <c r="H248">
        <f t="shared" si="3"/>
        <v>6</v>
      </c>
      <c r="I248" t="str" cm="1">
        <f t="array" ref="I248">_xlfn.IFS(H248&gt;=13,"Best Customers",H248&gt;=10,"Loyal Customers",H248&gt;=7,"Potential Loyal Customers",H248&gt;=4,"Need Attention",TRUE,"At Risk")</f>
        <v>Need Attention</v>
      </c>
    </row>
    <row r="249" spans="1:9">
      <c r="A249" t="s">
        <v>18</v>
      </c>
      <c r="B249" s="4">
        <v>56.656990740739275</v>
      </c>
      <c r="C249">
        <v>6</v>
      </c>
      <c r="D249">
        <v>60.890000000000008</v>
      </c>
      <c r="E249" s="5" cm="1">
        <f t="array" ref="E249">_xlfn.IFS(B249&lt;=_xlfn.PERCENTILE.INC($B$2:$B$288,0.2),5,B249&lt;=_xlfn.PERCENTILE.INC($B$2:$B$288,0.4),4,B249&lt;=_xlfn.PERCENTILE.INC($B$2:$B$288,0.6),3,B249&lt;=_xlfn.PERCENTILE.INC($B$2:$B$288,0.8),2,B249&gt;_xlfn.PERCENTILE.INC($B$2:$B$288,0.8),1)</f>
        <v>4</v>
      </c>
      <c r="F249" cm="1">
        <f t="array" ref="F249">_xlfn.IFS(C249&gt;=_xlfn.PERCENTILE.INC($C$2:$C$288,0.8),5,C249&gt;=_xlfn.PERCENTILE.INC($C$2:$C$288,0.6),4,C249&gt;=_xlfn.PERCENTILE.INC($C$2:$C$288,0.4),3,C249&gt;=_xlfn.PERCENTILE.INC($C$2:$C$288,0.2),2,C249&lt;_xlfn.PERCENTILE.INC($C$2:$C$288,0.2),1)</f>
        <v>5</v>
      </c>
      <c r="G249" cm="1">
        <f t="array" ref="G249">_xlfn.IFS(D249&gt;=_xlfn.PERCENTILE.INC($D$2:$D$288,0.8),5,D249&gt;=_xlfn.PERCENTILE.INC($D$2:$D$288,0.6),4,D249&gt;=_xlfn.PERCENTILE.INC($D$2:$D$288,0.4),3,D249&gt;=_xlfn.PERCENTILE.INC($D$2:$D$288,0.2),2,D249&lt;_xlfn.PERCENTILE.INC($D$2:$D$288,0.2),1)</f>
        <v>3</v>
      </c>
      <c r="H249">
        <f t="shared" si="3"/>
        <v>12</v>
      </c>
      <c r="I249" t="str" cm="1">
        <f t="array" ref="I249">_xlfn.IFS(H249&gt;=13,"Best Customers",H249&gt;=10,"Loyal Customers",H249&gt;=7,"Potential Loyal Customers",H249&gt;=4,"Need Attention",TRUE,"At Risk")</f>
        <v>Loyal Customers</v>
      </c>
    </row>
    <row r="250" spans="1:9">
      <c r="A250" t="s">
        <v>694</v>
      </c>
      <c r="B250" s="4">
        <v>24.656990740739275</v>
      </c>
      <c r="C250">
        <v>5</v>
      </c>
      <c r="D250">
        <v>121.51</v>
      </c>
      <c r="E250" s="5" cm="1">
        <f t="array" ref="E250">_xlfn.IFS(B250&lt;=_xlfn.PERCENTILE.INC($B$2:$B$288,0.2),5,B250&lt;=_xlfn.PERCENTILE.INC($B$2:$B$288,0.4),4,B250&lt;=_xlfn.PERCENTILE.INC($B$2:$B$288,0.6),3,B250&lt;=_xlfn.PERCENTILE.INC($B$2:$B$288,0.8),2,B250&gt;_xlfn.PERCENTILE.INC($B$2:$B$288,0.8),1)</f>
        <v>5</v>
      </c>
      <c r="F250" cm="1">
        <f t="array" ref="F250">_xlfn.IFS(C250&gt;=_xlfn.PERCENTILE.INC($C$2:$C$288,0.8),5,C250&gt;=_xlfn.PERCENTILE.INC($C$2:$C$288,0.6),4,C250&gt;=_xlfn.PERCENTILE.INC($C$2:$C$288,0.4),3,C250&gt;=_xlfn.PERCENTILE.INC($C$2:$C$288,0.2),2,C250&lt;_xlfn.PERCENTILE.INC($C$2:$C$288,0.2),1)</f>
        <v>5</v>
      </c>
      <c r="G250" cm="1">
        <f t="array" ref="G250">_xlfn.IFS(D250&gt;=_xlfn.PERCENTILE.INC($D$2:$D$288,0.8),5,D250&gt;=_xlfn.PERCENTILE.INC($D$2:$D$288,0.6),4,D250&gt;=_xlfn.PERCENTILE.INC($D$2:$D$288,0.4),3,D250&gt;=_xlfn.PERCENTILE.INC($D$2:$D$288,0.2),2,D250&lt;_xlfn.PERCENTILE.INC($D$2:$D$288,0.2),1)</f>
        <v>5</v>
      </c>
      <c r="H250">
        <f t="shared" si="3"/>
        <v>15</v>
      </c>
      <c r="I250" t="str" cm="1">
        <f t="array" ref="I250">_xlfn.IFS(H250&gt;=13,"Best Customers",H250&gt;=10,"Loyal Customers",H250&gt;=7,"Potential Loyal Customers",H250&gt;=4,"Need Attention",TRUE,"At Risk")</f>
        <v>Best Customers</v>
      </c>
    </row>
    <row r="251" spans="1:9">
      <c r="A251" t="s">
        <v>382</v>
      </c>
      <c r="B251" s="4">
        <v>105.65699074073927</v>
      </c>
      <c r="C251">
        <v>3</v>
      </c>
      <c r="D251">
        <v>57.67</v>
      </c>
      <c r="E251" s="5" cm="1">
        <f t="array" ref="E251">_xlfn.IFS(B251&lt;=_xlfn.PERCENTILE.INC($B$2:$B$288,0.2),5,B251&lt;=_xlfn.PERCENTILE.INC($B$2:$B$288,0.4),4,B251&lt;=_xlfn.PERCENTILE.INC($B$2:$B$288,0.6),3,B251&lt;=_xlfn.PERCENTILE.INC($B$2:$B$288,0.8),2,B251&gt;_xlfn.PERCENTILE.INC($B$2:$B$288,0.8),1)</f>
        <v>3</v>
      </c>
      <c r="F251" cm="1">
        <f t="array" ref="F251">_xlfn.IFS(C251&gt;=_xlfn.PERCENTILE.INC($C$2:$C$288,0.8),5,C251&gt;=_xlfn.PERCENTILE.INC($C$2:$C$288,0.6),4,C251&gt;=_xlfn.PERCENTILE.INC($C$2:$C$288,0.4),3,C251&gt;=_xlfn.PERCENTILE.INC($C$2:$C$288,0.2),2,C251&lt;_xlfn.PERCENTILE.INC($C$2:$C$288,0.2),1)</f>
        <v>3</v>
      </c>
      <c r="G251" cm="1">
        <f t="array" ref="G251">_xlfn.IFS(D251&gt;=_xlfn.PERCENTILE.INC($D$2:$D$288,0.8),5,D251&gt;=_xlfn.PERCENTILE.INC($D$2:$D$288,0.6),4,D251&gt;=_xlfn.PERCENTILE.INC($D$2:$D$288,0.4),3,D251&gt;=_xlfn.PERCENTILE.INC($D$2:$D$288,0.2),2,D251&lt;_xlfn.PERCENTILE.INC($D$2:$D$288,0.2),1)</f>
        <v>3</v>
      </c>
      <c r="H251">
        <f t="shared" si="3"/>
        <v>9</v>
      </c>
      <c r="I251" t="str" cm="1">
        <f t="array" ref="I251">_xlfn.IFS(H251&gt;=13,"Best Customers",H251&gt;=10,"Loyal Customers",H251&gt;=7,"Potential Loyal Customers",H251&gt;=4,"Need Attention",TRUE,"At Risk")</f>
        <v>Potential Loyal Customers</v>
      </c>
    </row>
    <row r="252" spans="1:9">
      <c r="A252" t="s">
        <v>334</v>
      </c>
      <c r="B252" s="4">
        <v>44.656990740739275</v>
      </c>
      <c r="C252">
        <v>6</v>
      </c>
      <c r="D252">
        <v>126.84</v>
      </c>
      <c r="E252" s="5" cm="1">
        <f t="array" ref="E252">_xlfn.IFS(B252&lt;=_xlfn.PERCENTILE.INC($B$2:$B$288,0.2),5,B252&lt;=_xlfn.PERCENTILE.INC($B$2:$B$288,0.4),4,B252&lt;=_xlfn.PERCENTILE.INC($B$2:$B$288,0.6),3,B252&lt;=_xlfn.PERCENTILE.INC($B$2:$B$288,0.8),2,B252&gt;_xlfn.PERCENTILE.INC($B$2:$B$288,0.8),1)</f>
        <v>4</v>
      </c>
      <c r="F252" cm="1">
        <f t="array" ref="F252">_xlfn.IFS(C252&gt;=_xlfn.PERCENTILE.INC($C$2:$C$288,0.8),5,C252&gt;=_xlfn.PERCENTILE.INC($C$2:$C$288,0.6),4,C252&gt;=_xlfn.PERCENTILE.INC($C$2:$C$288,0.4),3,C252&gt;=_xlfn.PERCENTILE.INC($C$2:$C$288,0.2),2,C252&lt;_xlfn.PERCENTILE.INC($C$2:$C$288,0.2),1)</f>
        <v>5</v>
      </c>
      <c r="G252" cm="1">
        <f t="array" ref="G252">_xlfn.IFS(D252&gt;=_xlfn.PERCENTILE.INC($D$2:$D$288,0.8),5,D252&gt;=_xlfn.PERCENTILE.INC($D$2:$D$288,0.6),4,D252&gt;=_xlfn.PERCENTILE.INC($D$2:$D$288,0.4),3,D252&gt;=_xlfn.PERCENTILE.INC($D$2:$D$288,0.2),2,D252&lt;_xlfn.PERCENTILE.INC($D$2:$D$288,0.2),1)</f>
        <v>5</v>
      </c>
      <c r="H252">
        <f t="shared" si="3"/>
        <v>14</v>
      </c>
      <c r="I252" t="str" cm="1">
        <f t="array" ref="I252">_xlfn.IFS(H252&gt;=13,"Best Customers",H252&gt;=10,"Loyal Customers",H252&gt;=7,"Potential Loyal Customers",H252&gt;=4,"Need Attention",TRUE,"At Risk")</f>
        <v>Best Customers</v>
      </c>
    </row>
    <row r="253" spans="1:9">
      <c r="A253" t="s">
        <v>37</v>
      </c>
      <c r="B253" s="4">
        <v>22.656990740739275</v>
      </c>
      <c r="C253">
        <v>2</v>
      </c>
      <c r="D253">
        <v>50.75</v>
      </c>
      <c r="E253" s="5" cm="1">
        <f t="array" ref="E253">_xlfn.IFS(B253&lt;=_xlfn.PERCENTILE.INC($B$2:$B$288,0.2),5,B253&lt;=_xlfn.PERCENTILE.INC($B$2:$B$288,0.4),4,B253&lt;=_xlfn.PERCENTILE.INC($B$2:$B$288,0.6),3,B253&lt;=_xlfn.PERCENTILE.INC($B$2:$B$288,0.8),2,B253&gt;_xlfn.PERCENTILE.INC($B$2:$B$288,0.8),1)</f>
        <v>5</v>
      </c>
      <c r="F253" cm="1">
        <f t="array" ref="F253">_xlfn.IFS(C253&gt;=_xlfn.PERCENTILE.INC($C$2:$C$288,0.8),5,C253&gt;=_xlfn.PERCENTILE.INC($C$2:$C$288,0.6),4,C253&gt;=_xlfn.PERCENTILE.INC($C$2:$C$288,0.4),3,C253&gt;=_xlfn.PERCENTILE.INC($C$2:$C$288,0.2),2,C253&lt;_xlfn.PERCENTILE.INC($C$2:$C$288,0.2),1)</f>
        <v>2</v>
      </c>
      <c r="G253" cm="1">
        <f t="array" ref="G253">_xlfn.IFS(D253&gt;=_xlfn.PERCENTILE.INC($D$2:$D$288,0.8),5,D253&gt;=_xlfn.PERCENTILE.INC($D$2:$D$288,0.6),4,D253&gt;=_xlfn.PERCENTILE.INC($D$2:$D$288,0.4),3,D253&gt;=_xlfn.PERCENTILE.INC($D$2:$D$288,0.2),2,D253&lt;_xlfn.PERCENTILE.INC($D$2:$D$288,0.2),1)</f>
        <v>3</v>
      </c>
      <c r="H253">
        <f t="shared" si="3"/>
        <v>10</v>
      </c>
      <c r="I253" t="str" cm="1">
        <f t="array" ref="I253">_xlfn.IFS(H253&gt;=13,"Best Customers",H253&gt;=10,"Loyal Customers",H253&gt;=7,"Potential Loyal Customers",H253&gt;=4,"Need Attention",TRUE,"At Risk")</f>
        <v>Loyal Customers</v>
      </c>
    </row>
    <row r="254" spans="1:9">
      <c r="A254" t="s">
        <v>340</v>
      </c>
      <c r="B254" s="4">
        <v>109.65699074073927</v>
      </c>
      <c r="C254">
        <v>4</v>
      </c>
      <c r="D254">
        <v>37.729999999999997</v>
      </c>
      <c r="E254" s="5" cm="1">
        <f t="array" ref="E254">_xlfn.IFS(B254&lt;=_xlfn.PERCENTILE.INC($B$2:$B$288,0.2),5,B254&lt;=_xlfn.PERCENTILE.INC($B$2:$B$288,0.4),4,B254&lt;=_xlfn.PERCENTILE.INC($B$2:$B$288,0.6),3,B254&lt;=_xlfn.PERCENTILE.INC($B$2:$B$288,0.8),2,B254&gt;_xlfn.PERCENTILE.INC($B$2:$B$288,0.8),1)</f>
        <v>3</v>
      </c>
      <c r="F254" cm="1">
        <f t="array" ref="F254">_xlfn.IFS(C254&gt;=_xlfn.PERCENTILE.INC($C$2:$C$288,0.8),5,C254&gt;=_xlfn.PERCENTILE.INC($C$2:$C$288,0.6),4,C254&gt;=_xlfn.PERCENTILE.INC($C$2:$C$288,0.4),3,C254&gt;=_xlfn.PERCENTILE.INC($C$2:$C$288,0.2),2,C254&lt;_xlfn.PERCENTILE.INC($C$2:$C$288,0.2),1)</f>
        <v>4</v>
      </c>
      <c r="G254" cm="1">
        <f t="array" ref="G254">_xlfn.IFS(D254&gt;=_xlfn.PERCENTILE.INC($D$2:$D$288,0.8),5,D254&gt;=_xlfn.PERCENTILE.INC($D$2:$D$288,0.6),4,D254&gt;=_xlfn.PERCENTILE.INC($D$2:$D$288,0.4),3,D254&gt;=_xlfn.PERCENTILE.INC($D$2:$D$288,0.2),2,D254&lt;_xlfn.PERCENTILE.INC($D$2:$D$288,0.2),1)</f>
        <v>2</v>
      </c>
      <c r="H254">
        <f t="shared" si="3"/>
        <v>9</v>
      </c>
      <c r="I254" t="str" cm="1">
        <f t="array" ref="I254">_xlfn.IFS(H254&gt;=13,"Best Customers",H254&gt;=10,"Loyal Customers",H254&gt;=7,"Potential Loyal Customers",H254&gt;=4,"Need Attention",TRUE,"At Risk")</f>
        <v>Potential Loyal Customers</v>
      </c>
    </row>
    <row r="255" spans="1:9">
      <c r="A255" t="s">
        <v>62</v>
      </c>
      <c r="B255" s="4">
        <v>143.65699074073927</v>
      </c>
      <c r="C255">
        <v>6</v>
      </c>
      <c r="D255">
        <v>140.88999999999999</v>
      </c>
      <c r="E255" s="5" cm="1">
        <f t="array" ref="E255">_xlfn.IFS(B255&lt;=_xlfn.PERCENTILE.INC($B$2:$B$288,0.2),5,B255&lt;=_xlfn.PERCENTILE.INC($B$2:$B$288,0.4),4,B255&lt;=_xlfn.PERCENTILE.INC($B$2:$B$288,0.6),3,B255&lt;=_xlfn.PERCENTILE.INC($B$2:$B$288,0.8),2,B255&gt;_xlfn.PERCENTILE.INC($B$2:$B$288,0.8),1)</f>
        <v>2</v>
      </c>
      <c r="F255" cm="1">
        <f t="array" ref="F255">_xlfn.IFS(C255&gt;=_xlfn.PERCENTILE.INC($C$2:$C$288,0.8),5,C255&gt;=_xlfn.PERCENTILE.INC($C$2:$C$288,0.6),4,C255&gt;=_xlfn.PERCENTILE.INC($C$2:$C$288,0.4),3,C255&gt;=_xlfn.PERCENTILE.INC($C$2:$C$288,0.2),2,C255&lt;_xlfn.PERCENTILE.INC($C$2:$C$288,0.2),1)</f>
        <v>5</v>
      </c>
      <c r="G255" cm="1">
        <f t="array" ref="G255">_xlfn.IFS(D255&gt;=_xlfn.PERCENTILE.INC($D$2:$D$288,0.8),5,D255&gt;=_xlfn.PERCENTILE.INC($D$2:$D$288,0.6),4,D255&gt;=_xlfn.PERCENTILE.INC($D$2:$D$288,0.4),3,D255&gt;=_xlfn.PERCENTILE.INC($D$2:$D$288,0.2),2,D255&lt;_xlfn.PERCENTILE.INC($D$2:$D$288,0.2),1)</f>
        <v>5</v>
      </c>
      <c r="H255">
        <f t="shared" si="3"/>
        <v>12</v>
      </c>
      <c r="I255" t="str" cm="1">
        <f t="array" ref="I255">_xlfn.IFS(H255&gt;=13,"Best Customers",H255&gt;=10,"Loyal Customers",H255&gt;=7,"Potential Loyal Customers",H255&gt;=4,"Need Attention",TRUE,"At Risk")</f>
        <v>Loyal Customers</v>
      </c>
    </row>
    <row r="256" spans="1:9">
      <c r="A256" t="s">
        <v>487</v>
      </c>
      <c r="B256" s="4">
        <v>229.65699074073927</v>
      </c>
      <c r="C256">
        <v>3</v>
      </c>
      <c r="D256">
        <v>80.47</v>
      </c>
      <c r="E256" s="5" cm="1">
        <f t="array" ref="E256">_xlfn.IFS(B256&lt;=_xlfn.PERCENTILE.INC($B$2:$B$288,0.2),5,B256&lt;=_xlfn.PERCENTILE.INC($B$2:$B$288,0.4),4,B256&lt;=_xlfn.PERCENTILE.INC($B$2:$B$288,0.6),3,B256&lt;=_xlfn.PERCENTILE.INC($B$2:$B$288,0.8),2,B256&gt;_xlfn.PERCENTILE.INC($B$2:$B$288,0.8),1)</f>
        <v>1</v>
      </c>
      <c r="F256" cm="1">
        <f t="array" ref="F256">_xlfn.IFS(C256&gt;=_xlfn.PERCENTILE.INC($C$2:$C$288,0.8),5,C256&gt;=_xlfn.PERCENTILE.INC($C$2:$C$288,0.6),4,C256&gt;=_xlfn.PERCENTILE.INC($C$2:$C$288,0.4),3,C256&gt;=_xlfn.PERCENTILE.INC($C$2:$C$288,0.2),2,C256&lt;_xlfn.PERCENTILE.INC($C$2:$C$288,0.2),1)</f>
        <v>3</v>
      </c>
      <c r="G256" cm="1">
        <f t="array" ref="G256">_xlfn.IFS(D256&gt;=_xlfn.PERCENTILE.INC($D$2:$D$288,0.8),5,D256&gt;=_xlfn.PERCENTILE.INC($D$2:$D$288,0.6),4,D256&gt;=_xlfn.PERCENTILE.INC($D$2:$D$288,0.4),3,D256&gt;=_xlfn.PERCENTILE.INC($D$2:$D$288,0.2),2,D256&lt;_xlfn.PERCENTILE.INC($D$2:$D$288,0.2),1)</f>
        <v>4</v>
      </c>
      <c r="H256">
        <f t="shared" si="3"/>
        <v>8</v>
      </c>
      <c r="I256" t="str" cm="1">
        <f t="array" ref="I256">_xlfn.IFS(H256&gt;=13,"Best Customers",H256&gt;=10,"Loyal Customers",H256&gt;=7,"Potential Loyal Customers",H256&gt;=4,"Need Attention",TRUE,"At Risk")</f>
        <v>Potential Loyal Customers</v>
      </c>
    </row>
    <row r="257" spans="1:9">
      <c r="A257" t="s">
        <v>633</v>
      </c>
      <c r="B257" s="4">
        <v>202.65699074073927</v>
      </c>
      <c r="C257">
        <v>4</v>
      </c>
      <c r="D257">
        <v>70.960000000000008</v>
      </c>
      <c r="E257" s="5" cm="1">
        <f t="array" ref="E257">_xlfn.IFS(B257&lt;=_xlfn.PERCENTILE.INC($B$2:$B$288,0.2),5,B257&lt;=_xlfn.PERCENTILE.INC($B$2:$B$288,0.4),4,B257&lt;=_xlfn.PERCENTILE.INC($B$2:$B$288,0.6),3,B257&lt;=_xlfn.PERCENTILE.INC($B$2:$B$288,0.8),2,B257&gt;_xlfn.PERCENTILE.INC($B$2:$B$288,0.8),1)</f>
        <v>1</v>
      </c>
      <c r="F257" cm="1">
        <f t="array" ref="F257">_xlfn.IFS(C257&gt;=_xlfn.PERCENTILE.INC($C$2:$C$288,0.8),5,C257&gt;=_xlfn.PERCENTILE.INC($C$2:$C$288,0.6),4,C257&gt;=_xlfn.PERCENTILE.INC($C$2:$C$288,0.4),3,C257&gt;=_xlfn.PERCENTILE.INC($C$2:$C$288,0.2),2,C257&lt;_xlfn.PERCENTILE.INC($C$2:$C$288,0.2),1)</f>
        <v>4</v>
      </c>
      <c r="G257" cm="1">
        <f t="array" ref="G257">_xlfn.IFS(D257&gt;=_xlfn.PERCENTILE.INC($D$2:$D$288,0.8),5,D257&gt;=_xlfn.PERCENTILE.INC($D$2:$D$288,0.6),4,D257&gt;=_xlfn.PERCENTILE.INC($D$2:$D$288,0.4),3,D257&gt;=_xlfn.PERCENTILE.INC($D$2:$D$288,0.2),2,D257&lt;_xlfn.PERCENTILE.INC($D$2:$D$288,0.2),1)</f>
        <v>4</v>
      </c>
      <c r="H257">
        <f t="shared" si="3"/>
        <v>9</v>
      </c>
      <c r="I257" t="str" cm="1">
        <f t="array" ref="I257">_xlfn.IFS(H257&gt;=13,"Best Customers",H257&gt;=10,"Loyal Customers",H257&gt;=7,"Potential Loyal Customers",H257&gt;=4,"Need Attention",TRUE,"At Risk")</f>
        <v>Potential Loyal Customers</v>
      </c>
    </row>
    <row r="258" spans="1:9">
      <c r="A258" t="s">
        <v>66</v>
      </c>
      <c r="B258" s="4">
        <v>146.65699074073927</v>
      </c>
      <c r="C258">
        <v>4</v>
      </c>
      <c r="D258">
        <v>83.37</v>
      </c>
      <c r="E258" s="5" cm="1">
        <f t="array" ref="E258">_xlfn.IFS(B258&lt;=_xlfn.PERCENTILE.INC($B$2:$B$288,0.2),5,B258&lt;=_xlfn.PERCENTILE.INC($B$2:$B$288,0.4),4,B258&lt;=_xlfn.PERCENTILE.INC($B$2:$B$288,0.6),3,B258&lt;=_xlfn.PERCENTILE.INC($B$2:$B$288,0.8),2,B258&gt;_xlfn.PERCENTILE.INC($B$2:$B$288,0.8),1)</f>
        <v>2</v>
      </c>
      <c r="F258" cm="1">
        <f t="array" ref="F258">_xlfn.IFS(C258&gt;=_xlfn.PERCENTILE.INC($C$2:$C$288,0.8),5,C258&gt;=_xlfn.PERCENTILE.INC($C$2:$C$288,0.6),4,C258&gt;=_xlfn.PERCENTILE.INC($C$2:$C$288,0.4),3,C258&gt;=_xlfn.PERCENTILE.INC($C$2:$C$288,0.2),2,C258&lt;_xlfn.PERCENTILE.INC($C$2:$C$288,0.2),1)</f>
        <v>4</v>
      </c>
      <c r="G258" cm="1">
        <f t="array" ref="G258">_xlfn.IFS(D258&gt;=_xlfn.PERCENTILE.INC($D$2:$D$288,0.8),5,D258&gt;=_xlfn.PERCENTILE.INC($D$2:$D$288,0.6),4,D258&gt;=_xlfn.PERCENTILE.INC($D$2:$D$288,0.4),3,D258&gt;=_xlfn.PERCENTILE.INC($D$2:$D$288,0.2),2,D258&lt;_xlfn.PERCENTILE.INC($D$2:$D$288,0.2),1)</f>
        <v>4</v>
      </c>
      <c r="H258">
        <f t="shared" si="3"/>
        <v>10</v>
      </c>
      <c r="I258" t="str" cm="1">
        <f t="array" ref="I258">_xlfn.IFS(H258&gt;=13,"Best Customers",H258&gt;=10,"Loyal Customers",H258&gt;=7,"Potential Loyal Customers",H258&gt;=4,"Need Attention",TRUE,"At Risk")</f>
        <v>Loyal Customers</v>
      </c>
    </row>
    <row r="259" spans="1:9">
      <c r="A259" t="s">
        <v>856</v>
      </c>
      <c r="B259" s="4">
        <v>60.656990740739275</v>
      </c>
      <c r="C259">
        <v>5</v>
      </c>
      <c r="D259">
        <v>117.98</v>
      </c>
      <c r="E259" s="5" cm="1">
        <f t="array" ref="E259">_xlfn.IFS(B259&lt;=_xlfn.PERCENTILE.INC($B$2:$B$288,0.2),5,B259&lt;=_xlfn.PERCENTILE.INC($B$2:$B$288,0.4),4,B259&lt;=_xlfn.PERCENTILE.INC($B$2:$B$288,0.6),3,B259&lt;=_xlfn.PERCENTILE.INC($B$2:$B$288,0.8),2,B259&gt;_xlfn.PERCENTILE.INC($B$2:$B$288,0.8),1)</f>
        <v>4</v>
      </c>
      <c r="F259" cm="1">
        <f t="array" ref="F259">_xlfn.IFS(C259&gt;=_xlfn.PERCENTILE.INC($C$2:$C$288,0.8),5,C259&gt;=_xlfn.PERCENTILE.INC($C$2:$C$288,0.6),4,C259&gt;=_xlfn.PERCENTILE.INC($C$2:$C$288,0.4),3,C259&gt;=_xlfn.PERCENTILE.INC($C$2:$C$288,0.2),2,C259&lt;_xlfn.PERCENTILE.INC($C$2:$C$288,0.2),1)</f>
        <v>5</v>
      </c>
      <c r="G259" cm="1">
        <f t="array" ref="G259">_xlfn.IFS(D259&gt;=_xlfn.PERCENTILE.INC($D$2:$D$288,0.8),5,D259&gt;=_xlfn.PERCENTILE.INC($D$2:$D$288,0.6),4,D259&gt;=_xlfn.PERCENTILE.INC($D$2:$D$288,0.4),3,D259&gt;=_xlfn.PERCENTILE.INC($D$2:$D$288,0.2),2,D259&lt;_xlfn.PERCENTILE.INC($D$2:$D$288,0.2),1)</f>
        <v>5</v>
      </c>
      <c r="H259">
        <f t="shared" ref="H259:H288" si="4">E259+F259+G259</f>
        <v>14</v>
      </c>
      <c r="I259" t="str" cm="1">
        <f t="array" ref="I259">_xlfn.IFS(H259&gt;=13,"Best Customers",H259&gt;=10,"Loyal Customers",H259&gt;=7,"Potential Loyal Customers",H259&gt;=4,"Need Attention",TRUE,"At Risk")</f>
        <v>Best Customers</v>
      </c>
    </row>
    <row r="260" spans="1:9">
      <c r="A260" t="s">
        <v>647</v>
      </c>
      <c r="B260" s="4">
        <v>377.65699074073927</v>
      </c>
      <c r="C260">
        <v>1</v>
      </c>
      <c r="D260">
        <v>4.37</v>
      </c>
      <c r="E260" s="5" cm="1">
        <f t="array" ref="E260">_xlfn.IFS(B260&lt;=_xlfn.PERCENTILE.INC($B$2:$B$288,0.2),5,B260&lt;=_xlfn.PERCENTILE.INC($B$2:$B$288,0.4),4,B260&lt;=_xlfn.PERCENTILE.INC($B$2:$B$288,0.6),3,B260&lt;=_xlfn.PERCENTILE.INC($B$2:$B$288,0.8),2,B260&gt;_xlfn.PERCENTILE.INC($B$2:$B$288,0.8),1)</f>
        <v>1</v>
      </c>
      <c r="F260" cm="1">
        <f t="array" ref="F260">_xlfn.IFS(C260&gt;=_xlfn.PERCENTILE.INC($C$2:$C$288,0.8),5,C260&gt;=_xlfn.PERCENTILE.INC($C$2:$C$288,0.6),4,C260&gt;=_xlfn.PERCENTILE.INC($C$2:$C$288,0.4),3,C260&gt;=_xlfn.PERCENTILE.INC($C$2:$C$288,0.2),2,C260&lt;_xlfn.PERCENTILE.INC($C$2:$C$288,0.2),1)</f>
        <v>1</v>
      </c>
      <c r="G260" cm="1">
        <f t="array" ref="G260">_xlfn.IFS(D260&gt;=_xlfn.PERCENTILE.INC($D$2:$D$288,0.8),5,D260&gt;=_xlfn.PERCENTILE.INC($D$2:$D$288,0.6),4,D260&gt;=_xlfn.PERCENTILE.INC($D$2:$D$288,0.4),3,D260&gt;=_xlfn.PERCENTILE.INC($D$2:$D$288,0.2),2,D260&lt;_xlfn.PERCENTILE.INC($D$2:$D$288,0.2),1)</f>
        <v>1</v>
      </c>
      <c r="H260">
        <f t="shared" si="4"/>
        <v>3</v>
      </c>
      <c r="I260" t="str" cm="1">
        <f t="array" ref="I260">_xlfn.IFS(H260&gt;=13,"Best Customers",H260&gt;=10,"Loyal Customers",H260&gt;=7,"Potential Loyal Customers",H260&gt;=4,"Need Attention",TRUE,"At Risk")</f>
        <v>At Risk</v>
      </c>
    </row>
    <row r="261" spans="1:9">
      <c r="A261" t="s">
        <v>35</v>
      </c>
      <c r="B261" s="4">
        <v>209.65699074073927</v>
      </c>
      <c r="C261">
        <v>3</v>
      </c>
      <c r="D261">
        <v>55.449999999999996</v>
      </c>
      <c r="E261" s="5" cm="1">
        <f t="array" ref="E261">_xlfn.IFS(B261&lt;=_xlfn.PERCENTILE.INC($B$2:$B$288,0.2),5,B261&lt;=_xlfn.PERCENTILE.INC($B$2:$B$288,0.4),4,B261&lt;=_xlfn.PERCENTILE.INC($B$2:$B$288,0.6),3,B261&lt;=_xlfn.PERCENTILE.INC($B$2:$B$288,0.8),2,B261&gt;_xlfn.PERCENTILE.INC($B$2:$B$288,0.8),1)</f>
        <v>1</v>
      </c>
      <c r="F261" cm="1">
        <f t="array" ref="F261">_xlfn.IFS(C261&gt;=_xlfn.PERCENTILE.INC($C$2:$C$288,0.8),5,C261&gt;=_xlfn.PERCENTILE.INC($C$2:$C$288,0.6),4,C261&gt;=_xlfn.PERCENTILE.INC($C$2:$C$288,0.4),3,C261&gt;=_xlfn.PERCENTILE.INC($C$2:$C$288,0.2),2,C261&lt;_xlfn.PERCENTILE.INC($C$2:$C$288,0.2),1)</f>
        <v>3</v>
      </c>
      <c r="G261" cm="1">
        <f t="array" ref="G261">_xlfn.IFS(D261&gt;=_xlfn.PERCENTILE.INC($D$2:$D$288,0.8),5,D261&gt;=_xlfn.PERCENTILE.INC($D$2:$D$288,0.6),4,D261&gt;=_xlfn.PERCENTILE.INC($D$2:$D$288,0.4),3,D261&gt;=_xlfn.PERCENTILE.INC($D$2:$D$288,0.2),2,D261&lt;_xlfn.PERCENTILE.INC($D$2:$D$288,0.2),1)</f>
        <v>3</v>
      </c>
      <c r="H261">
        <f t="shared" si="4"/>
        <v>7</v>
      </c>
      <c r="I261" t="str" cm="1">
        <f t="array" ref="I261">_xlfn.IFS(H261&gt;=13,"Best Customers",H261&gt;=10,"Loyal Customers",H261&gt;=7,"Potential Loyal Customers",H261&gt;=4,"Need Attention",TRUE,"At Risk")</f>
        <v>Potential Loyal Customers</v>
      </c>
    </row>
    <row r="262" spans="1:9">
      <c r="A262" t="s">
        <v>636</v>
      </c>
      <c r="B262" s="4">
        <v>56.656990740739275</v>
      </c>
      <c r="C262">
        <v>3</v>
      </c>
      <c r="D262">
        <v>71.960000000000008</v>
      </c>
      <c r="E262" s="5" cm="1">
        <f t="array" ref="E262">_xlfn.IFS(B262&lt;=_xlfn.PERCENTILE.INC($B$2:$B$288,0.2),5,B262&lt;=_xlfn.PERCENTILE.INC($B$2:$B$288,0.4),4,B262&lt;=_xlfn.PERCENTILE.INC($B$2:$B$288,0.6),3,B262&lt;=_xlfn.PERCENTILE.INC($B$2:$B$288,0.8),2,B262&gt;_xlfn.PERCENTILE.INC($B$2:$B$288,0.8),1)</f>
        <v>4</v>
      </c>
      <c r="F262" cm="1">
        <f t="array" ref="F262">_xlfn.IFS(C262&gt;=_xlfn.PERCENTILE.INC($C$2:$C$288,0.8),5,C262&gt;=_xlfn.PERCENTILE.INC($C$2:$C$288,0.6),4,C262&gt;=_xlfn.PERCENTILE.INC($C$2:$C$288,0.4),3,C262&gt;=_xlfn.PERCENTILE.INC($C$2:$C$288,0.2),2,C262&lt;_xlfn.PERCENTILE.INC($C$2:$C$288,0.2),1)</f>
        <v>3</v>
      </c>
      <c r="G262" cm="1">
        <f t="array" ref="G262">_xlfn.IFS(D262&gt;=_xlfn.PERCENTILE.INC($D$2:$D$288,0.8),5,D262&gt;=_xlfn.PERCENTILE.INC($D$2:$D$288,0.6),4,D262&gt;=_xlfn.PERCENTILE.INC($D$2:$D$288,0.4),3,D262&gt;=_xlfn.PERCENTILE.INC($D$2:$D$288,0.2),2,D262&lt;_xlfn.PERCENTILE.INC($D$2:$D$288,0.2),1)</f>
        <v>4</v>
      </c>
      <c r="H262">
        <f t="shared" si="4"/>
        <v>11</v>
      </c>
      <c r="I262" t="str" cm="1">
        <f t="array" ref="I262">_xlfn.IFS(H262&gt;=13,"Best Customers",H262&gt;=10,"Loyal Customers",H262&gt;=7,"Potential Loyal Customers",H262&gt;=4,"Need Attention",TRUE,"At Risk")</f>
        <v>Loyal Customers</v>
      </c>
    </row>
    <row r="263" spans="1:9">
      <c r="A263" t="s">
        <v>562</v>
      </c>
      <c r="B263" s="4">
        <v>266.65699074073927</v>
      </c>
      <c r="C263">
        <v>2</v>
      </c>
      <c r="D263">
        <v>27.740000000000002</v>
      </c>
      <c r="E263" s="5" cm="1">
        <f t="array" ref="E263">_xlfn.IFS(B263&lt;=_xlfn.PERCENTILE.INC($B$2:$B$288,0.2),5,B263&lt;=_xlfn.PERCENTILE.INC($B$2:$B$288,0.4),4,B263&lt;=_xlfn.PERCENTILE.INC($B$2:$B$288,0.6),3,B263&lt;=_xlfn.PERCENTILE.INC($B$2:$B$288,0.8),2,B263&gt;_xlfn.PERCENTILE.INC($B$2:$B$288,0.8),1)</f>
        <v>1</v>
      </c>
      <c r="F263" cm="1">
        <f t="array" ref="F263">_xlfn.IFS(C263&gt;=_xlfn.PERCENTILE.INC($C$2:$C$288,0.8),5,C263&gt;=_xlfn.PERCENTILE.INC($C$2:$C$288,0.6),4,C263&gt;=_xlfn.PERCENTILE.INC($C$2:$C$288,0.4),3,C263&gt;=_xlfn.PERCENTILE.INC($C$2:$C$288,0.2),2,C263&lt;_xlfn.PERCENTILE.INC($C$2:$C$288,0.2),1)</f>
        <v>2</v>
      </c>
      <c r="G263" cm="1">
        <f t="array" ref="G263">_xlfn.IFS(D263&gt;=_xlfn.PERCENTILE.INC($D$2:$D$288,0.8),5,D263&gt;=_xlfn.PERCENTILE.INC($D$2:$D$288,0.6),4,D263&gt;=_xlfn.PERCENTILE.INC($D$2:$D$288,0.4),3,D263&gt;=_xlfn.PERCENTILE.INC($D$2:$D$288,0.2),2,D263&lt;_xlfn.PERCENTILE.INC($D$2:$D$288,0.2),1)</f>
        <v>2</v>
      </c>
      <c r="H263">
        <f t="shared" si="4"/>
        <v>5</v>
      </c>
      <c r="I263" t="str" cm="1">
        <f t="array" ref="I263">_xlfn.IFS(H263&gt;=13,"Best Customers",H263&gt;=10,"Loyal Customers",H263&gt;=7,"Potential Loyal Customers",H263&gt;=4,"Need Attention",TRUE,"At Risk")</f>
        <v>Need Attention</v>
      </c>
    </row>
    <row r="264" spans="1:9">
      <c r="A264" t="s">
        <v>1082</v>
      </c>
      <c r="B264" s="4">
        <v>231.65699074073927</v>
      </c>
      <c r="C264">
        <v>2</v>
      </c>
      <c r="D264">
        <v>48.74</v>
      </c>
      <c r="E264" s="5" cm="1">
        <f t="array" ref="E264">_xlfn.IFS(B264&lt;=_xlfn.PERCENTILE.INC($B$2:$B$288,0.2),5,B264&lt;=_xlfn.PERCENTILE.INC($B$2:$B$288,0.4),4,B264&lt;=_xlfn.PERCENTILE.INC($B$2:$B$288,0.6),3,B264&lt;=_xlfn.PERCENTILE.INC($B$2:$B$288,0.8),2,B264&gt;_xlfn.PERCENTILE.INC($B$2:$B$288,0.8),1)</f>
        <v>1</v>
      </c>
      <c r="F264" cm="1">
        <f t="array" ref="F264">_xlfn.IFS(C264&gt;=_xlfn.PERCENTILE.INC($C$2:$C$288,0.8),5,C264&gt;=_xlfn.PERCENTILE.INC($C$2:$C$288,0.6),4,C264&gt;=_xlfn.PERCENTILE.INC($C$2:$C$288,0.4),3,C264&gt;=_xlfn.PERCENTILE.INC($C$2:$C$288,0.2),2,C264&lt;_xlfn.PERCENTILE.INC($C$2:$C$288,0.2),1)</f>
        <v>2</v>
      </c>
      <c r="G264" cm="1">
        <f t="array" ref="G264">_xlfn.IFS(D264&gt;=_xlfn.PERCENTILE.INC($D$2:$D$288,0.8),5,D264&gt;=_xlfn.PERCENTILE.INC($D$2:$D$288,0.6),4,D264&gt;=_xlfn.PERCENTILE.INC($D$2:$D$288,0.4),3,D264&gt;=_xlfn.PERCENTILE.INC($D$2:$D$288,0.2),2,D264&lt;_xlfn.PERCENTILE.INC($D$2:$D$288,0.2),1)</f>
        <v>3</v>
      </c>
      <c r="H264">
        <f t="shared" si="4"/>
        <v>6</v>
      </c>
      <c r="I264" t="str" cm="1">
        <f t="array" ref="I264">_xlfn.IFS(H264&gt;=13,"Best Customers",H264&gt;=10,"Loyal Customers",H264&gt;=7,"Potential Loyal Customers",H264&gt;=4,"Need Attention",TRUE,"At Risk")</f>
        <v>Need Attention</v>
      </c>
    </row>
    <row r="265" spans="1:9">
      <c r="A265" t="s">
        <v>922</v>
      </c>
      <c r="B265" s="4">
        <v>154.65699074073927</v>
      </c>
      <c r="C265">
        <v>3</v>
      </c>
      <c r="D265">
        <v>34.480000000000004</v>
      </c>
      <c r="E265" s="5" cm="1">
        <f t="array" ref="E265">_xlfn.IFS(B265&lt;=_xlfn.PERCENTILE.INC($B$2:$B$288,0.2),5,B265&lt;=_xlfn.PERCENTILE.INC($B$2:$B$288,0.4),4,B265&lt;=_xlfn.PERCENTILE.INC($B$2:$B$288,0.6),3,B265&lt;=_xlfn.PERCENTILE.INC($B$2:$B$288,0.8),2,B265&gt;_xlfn.PERCENTILE.INC($B$2:$B$288,0.8),1)</f>
        <v>2</v>
      </c>
      <c r="F265" cm="1">
        <f t="array" ref="F265">_xlfn.IFS(C265&gt;=_xlfn.PERCENTILE.INC($C$2:$C$288,0.8),5,C265&gt;=_xlfn.PERCENTILE.INC($C$2:$C$288,0.6),4,C265&gt;=_xlfn.PERCENTILE.INC($C$2:$C$288,0.4),3,C265&gt;=_xlfn.PERCENTILE.INC($C$2:$C$288,0.2),2,C265&lt;_xlfn.PERCENTILE.INC($C$2:$C$288,0.2),1)</f>
        <v>3</v>
      </c>
      <c r="G265" cm="1">
        <f t="array" ref="G265">_xlfn.IFS(D265&gt;=_xlfn.PERCENTILE.INC($D$2:$D$288,0.8),5,D265&gt;=_xlfn.PERCENTILE.INC($D$2:$D$288,0.6),4,D265&gt;=_xlfn.PERCENTILE.INC($D$2:$D$288,0.4),3,D265&gt;=_xlfn.PERCENTILE.INC($D$2:$D$288,0.2),2,D265&lt;_xlfn.PERCENTILE.INC($D$2:$D$288,0.2),1)</f>
        <v>2</v>
      </c>
      <c r="H265">
        <f t="shared" si="4"/>
        <v>7</v>
      </c>
      <c r="I265" t="str" cm="1">
        <f t="array" ref="I265">_xlfn.IFS(H265&gt;=13,"Best Customers",H265&gt;=10,"Loyal Customers",H265&gt;=7,"Potential Loyal Customers",H265&gt;=4,"Need Attention",TRUE,"At Risk")</f>
        <v>Potential Loyal Customers</v>
      </c>
    </row>
    <row r="266" spans="1:9">
      <c r="A266" t="s">
        <v>450</v>
      </c>
      <c r="B266" s="4">
        <v>103.65699074073927</v>
      </c>
      <c r="C266">
        <v>2</v>
      </c>
      <c r="D266">
        <v>27.89</v>
      </c>
      <c r="E266" s="5" cm="1">
        <f t="array" ref="E266">_xlfn.IFS(B266&lt;=_xlfn.PERCENTILE.INC($B$2:$B$288,0.2),5,B266&lt;=_xlfn.PERCENTILE.INC($B$2:$B$288,0.4),4,B266&lt;=_xlfn.PERCENTILE.INC($B$2:$B$288,0.6),3,B266&lt;=_xlfn.PERCENTILE.INC($B$2:$B$288,0.8),2,B266&gt;_xlfn.PERCENTILE.INC($B$2:$B$288,0.8),1)</f>
        <v>3</v>
      </c>
      <c r="F266" cm="1">
        <f t="array" ref="F266">_xlfn.IFS(C266&gt;=_xlfn.PERCENTILE.INC($C$2:$C$288,0.8),5,C266&gt;=_xlfn.PERCENTILE.INC($C$2:$C$288,0.6),4,C266&gt;=_xlfn.PERCENTILE.INC($C$2:$C$288,0.4),3,C266&gt;=_xlfn.PERCENTILE.INC($C$2:$C$288,0.2),2,C266&lt;_xlfn.PERCENTILE.INC($C$2:$C$288,0.2),1)</f>
        <v>2</v>
      </c>
      <c r="G266" cm="1">
        <f t="array" ref="G266">_xlfn.IFS(D266&gt;=_xlfn.PERCENTILE.INC($D$2:$D$288,0.8),5,D266&gt;=_xlfn.PERCENTILE.INC($D$2:$D$288,0.6),4,D266&gt;=_xlfn.PERCENTILE.INC($D$2:$D$288,0.4),3,D266&gt;=_xlfn.PERCENTILE.INC($D$2:$D$288,0.2),2,D266&lt;_xlfn.PERCENTILE.INC($D$2:$D$288,0.2),1)</f>
        <v>2</v>
      </c>
      <c r="H266">
        <f t="shared" si="4"/>
        <v>7</v>
      </c>
      <c r="I266" t="str" cm="1">
        <f t="array" ref="I266">_xlfn.IFS(H266&gt;=13,"Best Customers",H266&gt;=10,"Loyal Customers",H266&gt;=7,"Potential Loyal Customers",H266&gt;=4,"Need Attention",TRUE,"At Risk")</f>
        <v>Potential Loyal Customers</v>
      </c>
    </row>
    <row r="267" spans="1:9">
      <c r="A267" t="s">
        <v>1180</v>
      </c>
      <c r="B267" s="4">
        <v>354.65699074073927</v>
      </c>
      <c r="C267">
        <v>1</v>
      </c>
      <c r="D267">
        <v>5.19</v>
      </c>
      <c r="E267" s="5" cm="1">
        <f t="array" ref="E267">_xlfn.IFS(B267&lt;=_xlfn.PERCENTILE.INC($B$2:$B$288,0.2),5,B267&lt;=_xlfn.PERCENTILE.INC($B$2:$B$288,0.4),4,B267&lt;=_xlfn.PERCENTILE.INC($B$2:$B$288,0.6),3,B267&lt;=_xlfn.PERCENTILE.INC($B$2:$B$288,0.8),2,B267&gt;_xlfn.PERCENTILE.INC($B$2:$B$288,0.8),1)</f>
        <v>1</v>
      </c>
      <c r="F267" cm="1">
        <f t="array" ref="F267">_xlfn.IFS(C267&gt;=_xlfn.PERCENTILE.INC($C$2:$C$288,0.8),5,C267&gt;=_xlfn.PERCENTILE.INC($C$2:$C$288,0.6),4,C267&gt;=_xlfn.PERCENTILE.INC($C$2:$C$288,0.4),3,C267&gt;=_xlfn.PERCENTILE.INC($C$2:$C$288,0.2),2,C267&lt;_xlfn.PERCENTILE.INC($C$2:$C$288,0.2),1)</f>
        <v>1</v>
      </c>
      <c r="G267" cm="1">
        <f t="array" ref="G267">_xlfn.IFS(D267&gt;=_xlfn.PERCENTILE.INC($D$2:$D$288,0.8),5,D267&gt;=_xlfn.PERCENTILE.INC($D$2:$D$288,0.6),4,D267&gt;=_xlfn.PERCENTILE.INC($D$2:$D$288,0.4),3,D267&gt;=_xlfn.PERCENTILE.INC($D$2:$D$288,0.2),2,D267&lt;_xlfn.PERCENTILE.INC($D$2:$D$288,0.2),1)</f>
        <v>1</v>
      </c>
      <c r="H267">
        <f t="shared" si="4"/>
        <v>3</v>
      </c>
      <c r="I267" t="str" cm="1">
        <f t="array" ref="I267">_xlfn.IFS(H267&gt;=13,"Best Customers",H267&gt;=10,"Loyal Customers",H267&gt;=7,"Potential Loyal Customers",H267&gt;=4,"Need Attention",TRUE,"At Risk")</f>
        <v>At Risk</v>
      </c>
    </row>
    <row r="268" spans="1:9">
      <c r="A268" t="s">
        <v>422</v>
      </c>
      <c r="B268" s="4">
        <v>212.65699074073927</v>
      </c>
      <c r="C268">
        <v>2</v>
      </c>
      <c r="D268">
        <v>11.09</v>
      </c>
      <c r="E268" s="5" cm="1">
        <f t="array" ref="E268">_xlfn.IFS(B268&lt;=_xlfn.PERCENTILE.INC($B$2:$B$288,0.2),5,B268&lt;=_xlfn.PERCENTILE.INC($B$2:$B$288,0.4),4,B268&lt;=_xlfn.PERCENTILE.INC($B$2:$B$288,0.6),3,B268&lt;=_xlfn.PERCENTILE.INC($B$2:$B$288,0.8),2,B268&gt;_xlfn.PERCENTILE.INC($B$2:$B$288,0.8),1)</f>
        <v>1</v>
      </c>
      <c r="F268" cm="1">
        <f t="array" ref="F268">_xlfn.IFS(C268&gt;=_xlfn.PERCENTILE.INC($C$2:$C$288,0.8),5,C268&gt;=_xlfn.PERCENTILE.INC($C$2:$C$288,0.6),4,C268&gt;=_xlfn.PERCENTILE.INC($C$2:$C$288,0.4),3,C268&gt;=_xlfn.PERCENTILE.INC($C$2:$C$288,0.2),2,C268&lt;_xlfn.PERCENTILE.INC($C$2:$C$288,0.2),1)</f>
        <v>2</v>
      </c>
      <c r="G268" cm="1">
        <f t="array" ref="G268">_xlfn.IFS(D268&gt;=_xlfn.PERCENTILE.INC($D$2:$D$288,0.8),5,D268&gt;=_xlfn.PERCENTILE.INC($D$2:$D$288,0.6),4,D268&gt;=_xlfn.PERCENTILE.INC($D$2:$D$288,0.4),3,D268&gt;=_xlfn.PERCENTILE.INC($D$2:$D$288,0.2),2,D268&lt;_xlfn.PERCENTILE.INC($D$2:$D$288,0.2),1)</f>
        <v>1</v>
      </c>
      <c r="H268">
        <f t="shared" si="4"/>
        <v>4</v>
      </c>
      <c r="I268" t="str" cm="1">
        <f t="array" ref="I268">_xlfn.IFS(H268&gt;=13,"Best Customers",H268&gt;=10,"Loyal Customers",H268&gt;=7,"Potential Loyal Customers",H268&gt;=4,"Need Attention",TRUE,"At Risk")</f>
        <v>Need Attention</v>
      </c>
    </row>
    <row r="269" spans="1:9">
      <c r="A269" t="s">
        <v>444</v>
      </c>
      <c r="B269" s="4">
        <v>214.65699074073927</v>
      </c>
      <c r="C269">
        <v>3</v>
      </c>
      <c r="D269">
        <v>47.22</v>
      </c>
      <c r="E269" s="5" cm="1">
        <f t="array" ref="E269">_xlfn.IFS(B269&lt;=_xlfn.PERCENTILE.INC($B$2:$B$288,0.2),5,B269&lt;=_xlfn.PERCENTILE.INC($B$2:$B$288,0.4),4,B269&lt;=_xlfn.PERCENTILE.INC($B$2:$B$288,0.6),3,B269&lt;=_xlfn.PERCENTILE.INC($B$2:$B$288,0.8),2,B269&gt;_xlfn.PERCENTILE.INC($B$2:$B$288,0.8),1)</f>
        <v>1</v>
      </c>
      <c r="F269" cm="1">
        <f t="array" ref="F269">_xlfn.IFS(C269&gt;=_xlfn.PERCENTILE.INC($C$2:$C$288,0.8),5,C269&gt;=_xlfn.PERCENTILE.INC($C$2:$C$288,0.6),4,C269&gt;=_xlfn.PERCENTILE.INC($C$2:$C$288,0.4),3,C269&gt;=_xlfn.PERCENTILE.INC($C$2:$C$288,0.2),2,C269&lt;_xlfn.PERCENTILE.INC($C$2:$C$288,0.2),1)</f>
        <v>3</v>
      </c>
      <c r="G269" cm="1">
        <f t="array" ref="G269">_xlfn.IFS(D269&gt;=_xlfn.PERCENTILE.INC($D$2:$D$288,0.8),5,D269&gt;=_xlfn.PERCENTILE.INC($D$2:$D$288,0.6),4,D269&gt;=_xlfn.PERCENTILE.INC($D$2:$D$288,0.4),3,D269&gt;=_xlfn.PERCENTILE.INC($D$2:$D$288,0.2),2,D269&lt;_xlfn.PERCENTILE.INC($D$2:$D$288,0.2),1)</f>
        <v>3</v>
      </c>
      <c r="H269">
        <f t="shared" si="4"/>
        <v>7</v>
      </c>
      <c r="I269" t="str" cm="1">
        <f t="array" ref="I269">_xlfn.IFS(H269&gt;=13,"Best Customers",H269&gt;=10,"Loyal Customers",H269&gt;=7,"Potential Loyal Customers",H269&gt;=4,"Need Attention",TRUE,"At Risk")</f>
        <v>Potential Loyal Customers</v>
      </c>
    </row>
    <row r="270" spans="1:9">
      <c r="A270" t="s">
        <v>183</v>
      </c>
      <c r="B270" s="4">
        <v>42.656990740739275</v>
      </c>
      <c r="C270">
        <v>6</v>
      </c>
      <c r="D270">
        <v>70.48</v>
      </c>
      <c r="E270" s="5" cm="1">
        <f t="array" ref="E270">_xlfn.IFS(B270&lt;=_xlfn.PERCENTILE.INC($B$2:$B$288,0.2),5,B270&lt;=_xlfn.PERCENTILE.INC($B$2:$B$288,0.4),4,B270&lt;=_xlfn.PERCENTILE.INC($B$2:$B$288,0.6),3,B270&lt;=_xlfn.PERCENTILE.INC($B$2:$B$288,0.8),2,B270&gt;_xlfn.PERCENTILE.INC($B$2:$B$288,0.8),1)</f>
        <v>4</v>
      </c>
      <c r="F270" cm="1">
        <f t="array" ref="F270">_xlfn.IFS(C270&gt;=_xlfn.PERCENTILE.INC($C$2:$C$288,0.8),5,C270&gt;=_xlfn.PERCENTILE.INC($C$2:$C$288,0.6),4,C270&gt;=_xlfn.PERCENTILE.INC($C$2:$C$288,0.4),3,C270&gt;=_xlfn.PERCENTILE.INC($C$2:$C$288,0.2),2,C270&lt;_xlfn.PERCENTILE.INC($C$2:$C$288,0.2),1)</f>
        <v>5</v>
      </c>
      <c r="G270" cm="1">
        <f t="array" ref="G270">_xlfn.IFS(D270&gt;=_xlfn.PERCENTILE.INC($D$2:$D$288,0.8),5,D270&gt;=_xlfn.PERCENTILE.INC($D$2:$D$288,0.6),4,D270&gt;=_xlfn.PERCENTILE.INC($D$2:$D$288,0.4),3,D270&gt;=_xlfn.PERCENTILE.INC($D$2:$D$288,0.2),2,D270&lt;_xlfn.PERCENTILE.INC($D$2:$D$288,0.2),1)</f>
        <v>4</v>
      </c>
      <c r="H270">
        <f t="shared" si="4"/>
        <v>13</v>
      </c>
      <c r="I270" t="str" cm="1">
        <f t="array" ref="I270">_xlfn.IFS(H270&gt;=13,"Best Customers",H270&gt;=10,"Loyal Customers",H270&gt;=7,"Potential Loyal Customers",H270&gt;=4,"Need Attention",TRUE,"At Risk")</f>
        <v>Best Customers</v>
      </c>
    </row>
    <row r="271" spans="1:9">
      <c r="A271" t="s">
        <v>187</v>
      </c>
      <c r="B271" s="4">
        <v>55.656990740739275</v>
      </c>
      <c r="C271">
        <v>1</v>
      </c>
      <c r="D271">
        <v>5.6</v>
      </c>
      <c r="E271" s="5" cm="1">
        <f t="array" ref="E271">_xlfn.IFS(B271&lt;=_xlfn.PERCENTILE.INC($B$2:$B$288,0.2),5,B271&lt;=_xlfn.PERCENTILE.INC($B$2:$B$288,0.4),4,B271&lt;=_xlfn.PERCENTILE.INC($B$2:$B$288,0.6),3,B271&lt;=_xlfn.PERCENTILE.INC($B$2:$B$288,0.8),2,B271&gt;_xlfn.PERCENTILE.INC($B$2:$B$288,0.8),1)</f>
        <v>4</v>
      </c>
      <c r="F271" cm="1">
        <f t="array" ref="F271">_xlfn.IFS(C271&gt;=_xlfn.PERCENTILE.INC($C$2:$C$288,0.8),5,C271&gt;=_xlfn.PERCENTILE.INC($C$2:$C$288,0.6),4,C271&gt;=_xlfn.PERCENTILE.INC($C$2:$C$288,0.4),3,C271&gt;=_xlfn.PERCENTILE.INC($C$2:$C$288,0.2),2,C271&lt;_xlfn.PERCENTILE.INC($C$2:$C$288,0.2),1)</f>
        <v>1</v>
      </c>
      <c r="G271" cm="1">
        <f t="array" ref="G271">_xlfn.IFS(D271&gt;=_xlfn.PERCENTILE.INC($D$2:$D$288,0.8),5,D271&gt;=_xlfn.PERCENTILE.INC($D$2:$D$288,0.6),4,D271&gt;=_xlfn.PERCENTILE.INC($D$2:$D$288,0.4),3,D271&gt;=_xlfn.PERCENTILE.INC($D$2:$D$288,0.2),2,D271&lt;_xlfn.PERCENTILE.INC($D$2:$D$288,0.2),1)</f>
        <v>1</v>
      </c>
      <c r="H271">
        <f t="shared" si="4"/>
        <v>6</v>
      </c>
      <c r="I271" t="str" cm="1">
        <f t="array" ref="I271">_xlfn.IFS(H271&gt;=13,"Best Customers",H271&gt;=10,"Loyal Customers",H271&gt;=7,"Potential Loyal Customers",H271&gt;=4,"Need Attention",TRUE,"At Risk")</f>
        <v>Need Attention</v>
      </c>
    </row>
    <row r="272" spans="1:9">
      <c r="A272" t="s">
        <v>745</v>
      </c>
      <c r="B272" s="4">
        <v>74.656990740739275</v>
      </c>
      <c r="C272">
        <v>2</v>
      </c>
      <c r="D272">
        <v>71.95</v>
      </c>
      <c r="E272" s="5" cm="1">
        <f t="array" ref="E272">_xlfn.IFS(B272&lt;=_xlfn.PERCENTILE.INC($B$2:$B$288,0.2),5,B272&lt;=_xlfn.PERCENTILE.INC($B$2:$B$288,0.4),4,B272&lt;=_xlfn.PERCENTILE.INC($B$2:$B$288,0.6),3,B272&lt;=_xlfn.PERCENTILE.INC($B$2:$B$288,0.8),2,B272&gt;_xlfn.PERCENTILE.INC($B$2:$B$288,0.8),1)</f>
        <v>3</v>
      </c>
      <c r="F272" cm="1">
        <f t="array" ref="F272">_xlfn.IFS(C272&gt;=_xlfn.PERCENTILE.INC($C$2:$C$288,0.8),5,C272&gt;=_xlfn.PERCENTILE.INC($C$2:$C$288,0.6),4,C272&gt;=_xlfn.PERCENTILE.INC($C$2:$C$288,0.4),3,C272&gt;=_xlfn.PERCENTILE.INC($C$2:$C$288,0.2),2,C272&lt;_xlfn.PERCENTILE.INC($C$2:$C$288,0.2),1)</f>
        <v>2</v>
      </c>
      <c r="G272" cm="1">
        <f t="array" ref="G272">_xlfn.IFS(D272&gt;=_xlfn.PERCENTILE.INC($D$2:$D$288,0.8),5,D272&gt;=_xlfn.PERCENTILE.INC($D$2:$D$288,0.6),4,D272&gt;=_xlfn.PERCENTILE.INC($D$2:$D$288,0.4),3,D272&gt;=_xlfn.PERCENTILE.INC($D$2:$D$288,0.2),2,D272&lt;_xlfn.PERCENTILE.INC($D$2:$D$288,0.2),1)</f>
        <v>4</v>
      </c>
      <c r="H272">
        <f t="shared" si="4"/>
        <v>9</v>
      </c>
      <c r="I272" t="str" cm="1">
        <f t="array" ref="I272">_xlfn.IFS(H272&gt;=13,"Best Customers",H272&gt;=10,"Loyal Customers",H272&gt;=7,"Potential Loyal Customers",H272&gt;=4,"Need Attention",TRUE,"At Risk")</f>
        <v>Potential Loyal Customers</v>
      </c>
    </row>
    <row r="273" spans="1:9">
      <c r="A273" t="s">
        <v>281</v>
      </c>
      <c r="B273" s="4">
        <v>102.65699074073927</v>
      </c>
      <c r="C273">
        <v>8</v>
      </c>
      <c r="D273">
        <v>143.59</v>
      </c>
      <c r="E273" s="5" cm="1">
        <f t="array" ref="E273">_xlfn.IFS(B273&lt;=_xlfn.PERCENTILE.INC($B$2:$B$288,0.2),5,B273&lt;=_xlfn.PERCENTILE.INC($B$2:$B$288,0.4),4,B273&lt;=_xlfn.PERCENTILE.INC($B$2:$B$288,0.6),3,B273&lt;=_xlfn.PERCENTILE.INC($B$2:$B$288,0.8),2,B273&gt;_xlfn.PERCENTILE.INC($B$2:$B$288,0.8),1)</f>
        <v>3</v>
      </c>
      <c r="F273" cm="1">
        <f t="array" ref="F273">_xlfn.IFS(C273&gt;=_xlfn.PERCENTILE.INC($C$2:$C$288,0.8),5,C273&gt;=_xlfn.PERCENTILE.INC($C$2:$C$288,0.6),4,C273&gt;=_xlfn.PERCENTILE.INC($C$2:$C$288,0.4),3,C273&gt;=_xlfn.PERCENTILE.INC($C$2:$C$288,0.2),2,C273&lt;_xlfn.PERCENTILE.INC($C$2:$C$288,0.2),1)</f>
        <v>5</v>
      </c>
      <c r="G273" cm="1">
        <f t="array" ref="G273">_xlfn.IFS(D273&gt;=_xlfn.PERCENTILE.INC($D$2:$D$288,0.8),5,D273&gt;=_xlfn.PERCENTILE.INC($D$2:$D$288,0.6),4,D273&gt;=_xlfn.PERCENTILE.INC($D$2:$D$288,0.4),3,D273&gt;=_xlfn.PERCENTILE.INC($D$2:$D$288,0.2),2,D273&lt;_xlfn.PERCENTILE.INC($D$2:$D$288,0.2),1)</f>
        <v>5</v>
      </c>
      <c r="H273">
        <f t="shared" si="4"/>
        <v>13</v>
      </c>
      <c r="I273" t="str" cm="1">
        <f t="array" ref="I273">_xlfn.IFS(H273&gt;=13,"Best Customers",H273&gt;=10,"Loyal Customers",H273&gt;=7,"Potential Loyal Customers",H273&gt;=4,"Need Attention",TRUE,"At Risk")</f>
        <v>Best Customers</v>
      </c>
    </row>
    <row r="274" spans="1:9">
      <c r="A274" t="s">
        <v>68</v>
      </c>
      <c r="B274" s="4">
        <v>37.656990740739275</v>
      </c>
      <c r="C274">
        <v>2</v>
      </c>
      <c r="D274">
        <v>15.41</v>
      </c>
      <c r="E274" s="5" cm="1">
        <f t="array" ref="E274">_xlfn.IFS(B274&lt;=_xlfn.PERCENTILE.INC($B$2:$B$288,0.2),5,B274&lt;=_xlfn.PERCENTILE.INC($B$2:$B$288,0.4),4,B274&lt;=_xlfn.PERCENTILE.INC($B$2:$B$288,0.6),3,B274&lt;=_xlfn.PERCENTILE.INC($B$2:$B$288,0.8),2,B274&gt;_xlfn.PERCENTILE.INC($B$2:$B$288,0.8),1)</f>
        <v>5</v>
      </c>
      <c r="F274" cm="1">
        <f t="array" ref="F274">_xlfn.IFS(C274&gt;=_xlfn.PERCENTILE.INC($C$2:$C$288,0.8),5,C274&gt;=_xlfn.PERCENTILE.INC($C$2:$C$288,0.6),4,C274&gt;=_xlfn.PERCENTILE.INC($C$2:$C$288,0.4),3,C274&gt;=_xlfn.PERCENTILE.INC($C$2:$C$288,0.2),2,C274&lt;_xlfn.PERCENTILE.INC($C$2:$C$288,0.2),1)</f>
        <v>2</v>
      </c>
      <c r="G274" cm="1">
        <f t="array" ref="G274">_xlfn.IFS(D274&gt;=_xlfn.PERCENTILE.INC($D$2:$D$288,0.8),5,D274&gt;=_xlfn.PERCENTILE.INC($D$2:$D$288,0.6),4,D274&gt;=_xlfn.PERCENTILE.INC($D$2:$D$288,0.4),3,D274&gt;=_xlfn.PERCENTILE.INC($D$2:$D$288,0.2),2,D274&lt;_xlfn.PERCENTILE.INC($D$2:$D$288,0.2),1)</f>
        <v>1</v>
      </c>
      <c r="H274">
        <f t="shared" si="4"/>
        <v>8</v>
      </c>
      <c r="I274" t="str" cm="1">
        <f t="array" ref="I274">_xlfn.IFS(H274&gt;=13,"Best Customers",H274&gt;=10,"Loyal Customers",H274&gt;=7,"Potential Loyal Customers",H274&gt;=4,"Need Attention",TRUE,"At Risk")</f>
        <v>Potential Loyal Customers</v>
      </c>
    </row>
    <row r="275" spans="1:9">
      <c r="A275" t="s">
        <v>221</v>
      </c>
      <c r="B275" s="4">
        <v>42.656990740739275</v>
      </c>
      <c r="C275">
        <v>4</v>
      </c>
      <c r="D275">
        <v>40.15</v>
      </c>
      <c r="E275" s="5" cm="1">
        <f t="array" ref="E275">_xlfn.IFS(B275&lt;=_xlfn.PERCENTILE.INC($B$2:$B$288,0.2),5,B275&lt;=_xlfn.PERCENTILE.INC($B$2:$B$288,0.4),4,B275&lt;=_xlfn.PERCENTILE.INC($B$2:$B$288,0.6),3,B275&lt;=_xlfn.PERCENTILE.INC($B$2:$B$288,0.8),2,B275&gt;_xlfn.PERCENTILE.INC($B$2:$B$288,0.8),1)</f>
        <v>4</v>
      </c>
      <c r="F275" cm="1">
        <f t="array" ref="F275">_xlfn.IFS(C275&gt;=_xlfn.PERCENTILE.INC($C$2:$C$288,0.8),5,C275&gt;=_xlfn.PERCENTILE.INC($C$2:$C$288,0.6),4,C275&gt;=_xlfn.PERCENTILE.INC($C$2:$C$288,0.4),3,C275&gt;=_xlfn.PERCENTILE.INC($C$2:$C$288,0.2),2,C275&lt;_xlfn.PERCENTILE.INC($C$2:$C$288,0.2),1)</f>
        <v>4</v>
      </c>
      <c r="G275" cm="1">
        <f t="array" ref="G275">_xlfn.IFS(D275&gt;=_xlfn.PERCENTILE.INC($D$2:$D$288,0.8),5,D275&gt;=_xlfn.PERCENTILE.INC($D$2:$D$288,0.6),4,D275&gt;=_xlfn.PERCENTILE.INC($D$2:$D$288,0.4),3,D275&gt;=_xlfn.PERCENTILE.INC($D$2:$D$288,0.2),2,D275&lt;_xlfn.PERCENTILE.INC($D$2:$D$288,0.2),1)</f>
        <v>2</v>
      </c>
      <c r="H275">
        <f t="shared" si="4"/>
        <v>10</v>
      </c>
      <c r="I275" t="str" cm="1">
        <f t="array" ref="I275">_xlfn.IFS(H275&gt;=13,"Best Customers",H275&gt;=10,"Loyal Customers",H275&gt;=7,"Potential Loyal Customers",H275&gt;=4,"Need Attention",TRUE,"At Risk")</f>
        <v>Loyal Customers</v>
      </c>
    </row>
    <row r="276" spans="1:9">
      <c r="A276" t="s">
        <v>98</v>
      </c>
      <c r="B276" s="4">
        <v>64.656990740739275</v>
      </c>
      <c r="C276">
        <v>7</v>
      </c>
      <c r="D276">
        <v>88.53</v>
      </c>
      <c r="E276" s="5" cm="1">
        <f t="array" ref="E276">_xlfn.IFS(B276&lt;=_xlfn.PERCENTILE.INC($B$2:$B$288,0.2),5,B276&lt;=_xlfn.PERCENTILE.INC($B$2:$B$288,0.4),4,B276&lt;=_xlfn.PERCENTILE.INC($B$2:$B$288,0.6),3,B276&lt;=_xlfn.PERCENTILE.INC($B$2:$B$288,0.8),2,B276&gt;_xlfn.PERCENTILE.INC($B$2:$B$288,0.8),1)</f>
        <v>4</v>
      </c>
      <c r="F276" cm="1">
        <f t="array" ref="F276">_xlfn.IFS(C276&gt;=_xlfn.PERCENTILE.INC($C$2:$C$288,0.8),5,C276&gt;=_xlfn.PERCENTILE.INC($C$2:$C$288,0.6),4,C276&gt;=_xlfn.PERCENTILE.INC($C$2:$C$288,0.4),3,C276&gt;=_xlfn.PERCENTILE.INC($C$2:$C$288,0.2),2,C276&lt;_xlfn.PERCENTILE.INC($C$2:$C$288,0.2),1)</f>
        <v>5</v>
      </c>
      <c r="G276" cm="1">
        <f t="array" ref="G276">_xlfn.IFS(D276&gt;=_xlfn.PERCENTILE.INC($D$2:$D$288,0.8),5,D276&gt;=_xlfn.PERCENTILE.INC($D$2:$D$288,0.6),4,D276&gt;=_xlfn.PERCENTILE.INC($D$2:$D$288,0.4),3,D276&gt;=_xlfn.PERCENTILE.INC($D$2:$D$288,0.2),2,D276&lt;_xlfn.PERCENTILE.INC($D$2:$D$288,0.2),1)</f>
        <v>4</v>
      </c>
      <c r="H276">
        <f t="shared" si="4"/>
        <v>13</v>
      </c>
      <c r="I276" t="str" cm="1">
        <f t="array" ref="I276">_xlfn.IFS(H276&gt;=13,"Best Customers",H276&gt;=10,"Loyal Customers",H276&gt;=7,"Potential Loyal Customers",H276&gt;=4,"Need Attention",TRUE,"At Risk")</f>
        <v>Best Customers</v>
      </c>
    </row>
    <row r="277" spans="1:9">
      <c r="A277" t="s">
        <v>134</v>
      </c>
      <c r="B277" s="4">
        <v>100.65699074073927</v>
      </c>
      <c r="C277">
        <v>7</v>
      </c>
      <c r="D277">
        <v>121.16999999999999</v>
      </c>
      <c r="E277" s="5" cm="1">
        <f t="array" ref="E277">_xlfn.IFS(B277&lt;=_xlfn.PERCENTILE.INC($B$2:$B$288,0.2),5,B277&lt;=_xlfn.PERCENTILE.INC($B$2:$B$288,0.4),4,B277&lt;=_xlfn.PERCENTILE.INC($B$2:$B$288,0.6),3,B277&lt;=_xlfn.PERCENTILE.INC($B$2:$B$288,0.8),2,B277&gt;_xlfn.PERCENTILE.INC($B$2:$B$288,0.8),1)</f>
        <v>3</v>
      </c>
      <c r="F277" cm="1">
        <f t="array" ref="F277">_xlfn.IFS(C277&gt;=_xlfn.PERCENTILE.INC($C$2:$C$288,0.8),5,C277&gt;=_xlfn.PERCENTILE.INC($C$2:$C$288,0.6),4,C277&gt;=_xlfn.PERCENTILE.INC($C$2:$C$288,0.4),3,C277&gt;=_xlfn.PERCENTILE.INC($C$2:$C$288,0.2),2,C277&lt;_xlfn.PERCENTILE.INC($C$2:$C$288,0.2),1)</f>
        <v>5</v>
      </c>
      <c r="G277" cm="1">
        <f t="array" ref="G277">_xlfn.IFS(D277&gt;=_xlfn.PERCENTILE.INC($D$2:$D$288,0.8),5,D277&gt;=_xlfn.PERCENTILE.INC($D$2:$D$288,0.6),4,D277&gt;=_xlfn.PERCENTILE.INC($D$2:$D$288,0.4),3,D277&gt;=_xlfn.PERCENTILE.INC($D$2:$D$288,0.2),2,D277&lt;_xlfn.PERCENTILE.INC($D$2:$D$288,0.2),1)</f>
        <v>5</v>
      </c>
      <c r="H277">
        <f t="shared" si="4"/>
        <v>13</v>
      </c>
      <c r="I277" t="str" cm="1">
        <f t="array" ref="I277">_xlfn.IFS(H277&gt;=13,"Best Customers",H277&gt;=10,"Loyal Customers",H277&gt;=7,"Potential Loyal Customers",H277&gt;=4,"Need Attention",TRUE,"At Risk")</f>
        <v>Best Customers</v>
      </c>
    </row>
    <row r="278" spans="1:9">
      <c r="A278" t="s">
        <v>1142</v>
      </c>
      <c r="B278" s="4">
        <v>249.65699074073927</v>
      </c>
      <c r="C278">
        <v>2</v>
      </c>
      <c r="D278">
        <v>69.789999999999992</v>
      </c>
      <c r="E278" s="5" cm="1">
        <f t="array" ref="E278">_xlfn.IFS(B278&lt;=_xlfn.PERCENTILE.INC($B$2:$B$288,0.2),5,B278&lt;=_xlfn.PERCENTILE.INC($B$2:$B$288,0.4),4,B278&lt;=_xlfn.PERCENTILE.INC($B$2:$B$288,0.6),3,B278&lt;=_xlfn.PERCENTILE.INC($B$2:$B$288,0.8),2,B278&gt;_xlfn.PERCENTILE.INC($B$2:$B$288,0.8),1)</f>
        <v>1</v>
      </c>
      <c r="F278" cm="1">
        <f t="array" ref="F278">_xlfn.IFS(C278&gt;=_xlfn.PERCENTILE.INC($C$2:$C$288,0.8),5,C278&gt;=_xlfn.PERCENTILE.INC($C$2:$C$288,0.6),4,C278&gt;=_xlfn.PERCENTILE.INC($C$2:$C$288,0.4),3,C278&gt;=_xlfn.PERCENTILE.INC($C$2:$C$288,0.2),2,C278&lt;_xlfn.PERCENTILE.INC($C$2:$C$288,0.2),1)</f>
        <v>2</v>
      </c>
      <c r="G278" cm="1">
        <f t="array" ref="G278">_xlfn.IFS(D278&gt;=_xlfn.PERCENTILE.INC($D$2:$D$288,0.8),5,D278&gt;=_xlfn.PERCENTILE.INC($D$2:$D$288,0.6),4,D278&gt;=_xlfn.PERCENTILE.INC($D$2:$D$288,0.4),3,D278&gt;=_xlfn.PERCENTILE.INC($D$2:$D$288,0.2),2,D278&lt;_xlfn.PERCENTILE.INC($D$2:$D$288,0.2),1)</f>
        <v>4</v>
      </c>
      <c r="H278">
        <f t="shared" si="4"/>
        <v>7</v>
      </c>
      <c r="I278" t="str" cm="1">
        <f t="array" ref="I278">_xlfn.IFS(H278&gt;=13,"Best Customers",H278&gt;=10,"Loyal Customers",H278&gt;=7,"Potential Loyal Customers",H278&gt;=4,"Need Attention",TRUE,"At Risk")</f>
        <v>Potential Loyal Customers</v>
      </c>
    </row>
    <row r="279" spans="1:9">
      <c r="A279" t="s">
        <v>70</v>
      </c>
      <c r="B279" s="4">
        <v>36.656990740739275</v>
      </c>
      <c r="C279">
        <v>6</v>
      </c>
      <c r="D279">
        <v>125.53</v>
      </c>
      <c r="E279" s="5" cm="1">
        <f t="array" ref="E279">_xlfn.IFS(B279&lt;=_xlfn.PERCENTILE.INC($B$2:$B$288,0.2),5,B279&lt;=_xlfn.PERCENTILE.INC($B$2:$B$288,0.4),4,B279&lt;=_xlfn.PERCENTILE.INC($B$2:$B$288,0.6),3,B279&lt;=_xlfn.PERCENTILE.INC($B$2:$B$288,0.8),2,B279&gt;_xlfn.PERCENTILE.INC($B$2:$B$288,0.8),1)</f>
        <v>5</v>
      </c>
      <c r="F279" cm="1">
        <f t="array" ref="F279">_xlfn.IFS(C279&gt;=_xlfn.PERCENTILE.INC($C$2:$C$288,0.8),5,C279&gt;=_xlfn.PERCENTILE.INC($C$2:$C$288,0.6),4,C279&gt;=_xlfn.PERCENTILE.INC($C$2:$C$288,0.4),3,C279&gt;=_xlfn.PERCENTILE.INC($C$2:$C$288,0.2),2,C279&lt;_xlfn.PERCENTILE.INC($C$2:$C$288,0.2),1)</f>
        <v>5</v>
      </c>
      <c r="G279" cm="1">
        <f t="array" ref="G279">_xlfn.IFS(D279&gt;=_xlfn.PERCENTILE.INC($D$2:$D$288,0.8),5,D279&gt;=_xlfn.PERCENTILE.INC($D$2:$D$288,0.6),4,D279&gt;=_xlfn.PERCENTILE.INC($D$2:$D$288,0.4),3,D279&gt;=_xlfn.PERCENTILE.INC($D$2:$D$288,0.2),2,D279&lt;_xlfn.PERCENTILE.INC($D$2:$D$288,0.2),1)</f>
        <v>5</v>
      </c>
      <c r="H279">
        <f t="shared" si="4"/>
        <v>15</v>
      </c>
      <c r="I279" t="str" cm="1">
        <f t="array" ref="I279">_xlfn.IFS(H279&gt;=13,"Best Customers",H279&gt;=10,"Loyal Customers",H279&gt;=7,"Potential Loyal Customers",H279&gt;=4,"Need Attention",TRUE,"At Risk")</f>
        <v>Best Customers</v>
      </c>
    </row>
    <row r="280" spans="1:9">
      <c r="A280" t="s">
        <v>181</v>
      </c>
      <c r="B280" s="4">
        <v>81.656990740739275</v>
      </c>
      <c r="C280">
        <v>3</v>
      </c>
      <c r="D280">
        <v>69.42</v>
      </c>
      <c r="E280" s="5" cm="1">
        <f t="array" ref="E280">_xlfn.IFS(B280&lt;=_xlfn.PERCENTILE.INC($B$2:$B$288,0.2),5,B280&lt;=_xlfn.PERCENTILE.INC($B$2:$B$288,0.4),4,B280&lt;=_xlfn.PERCENTILE.INC($B$2:$B$288,0.6),3,B280&lt;=_xlfn.PERCENTILE.INC($B$2:$B$288,0.8),2,B280&gt;_xlfn.PERCENTILE.INC($B$2:$B$288,0.8),1)</f>
        <v>3</v>
      </c>
      <c r="F280" cm="1">
        <f t="array" ref="F280">_xlfn.IFS(C280&gt;=_xlfn.PERCENTILE.INC($C$2:$C$288,0.8),5,C280&gt;=_xlfn.PERCENTILE.INC($C$2:$C$288,0.6),4,C280&gt;=_xlfn.PERCENTILE.INC($C$2:$C$288,0.4),3,C280&gt;=_xlfn.PERCENTILE.INC($C$2:$C$288,0.2),2,C280&lt;_xlfn.PERCENTILE.INC($C$2:$C$288,0.2),1)</f>
        <v>3</v>
      </c>
      <c r="G280" cm="1">
        <f t="array" ref="G280">_xlfn.IFS(D280&gt;=_xlfn.PERCENTILE.INC($D$2:$D$288,0.8),5,D280&gt;=_xlfn.PERCENTILE.INC($D$2:$D$288,0.6),4,D280&gt;=_xlfn.PERCENTILE.INC($D$2:$D$288,0.4),3,D280&gt;=_xlfn.PERCENTILE.INC($D$2:$D$288,0.2),2,D280&lt;_xlfn.PERCENTILE.INC($D$2:$D$288,0.2),1)</f>
        <v>4</v>
      </c>
      <c r="H280">
        <f t="shared" si="4"/>
        <v>10</v>
      </c>
      <c r="I280" t="str" cm="1">
        <f t="array" ref="I280">_xlfn.IFS(H280&gt;=13,"Best Customers",H280&gt;=10,"Loyal Customers",H280&gt;=7,"Potential Loyal Customers",H280&gt;=4,"Need Attention",TRUE,"At Risk")</f>
        <v>Loyal Customers</v>
      </c>
    </row>
    <row r="281" spans="1:9">
      <c r="A281" t="s">
        <v>213</v>
      </c>
      <c r="B281" s="4">
        <v>33.656990740739275</v>
      </c>
      <c r="C281">
        <v>12</v>
      </c>
      <c r="D281">
        <v>190.97</v>
      </c>
      <c r="E281" s="5" cm="1">
        <f t="array" ref="E281">_xlfn.IFS(B281&lt;=_xlfn.PERCENTILE.INC($B$2:$B$288,0.2),5,B281&lt;=_xlfn.PERCENTILE.INC($B$2:$B$288,0.4),4,B281&lt;=_xlfn.PERCENTILE.INC($B$2:$B$288,0.6),3,B281&lt;=_xlfn.PERCENTILE.INC($B$2:$B$288,0.8),2,B281&gt;_xlfn.PERCENTILE.INC($B$2:$B$288,0.8),1)</f>
        <v>5</v>
      </c>
      <c r="F281" cm="1">
        <f t="array" ref="F281">_xlfn.IFS(C281&gt;=_xlfn.PERCENTILE.INC($C$2:$C$288,0.8),5,C281&gt;=_xlfn.PERCENTILE.INC($C$2:$C$288,0.6),4,C281&gt;=_xlfn.PERCENTILE.INC($C$2:$C$288,0.4),3,C281&gt;=_xlfn.PERCENTILE.INC($C$2:$C$288,0.2),2,C281&lt;_xlfn.PERCENTILE.INC($C$2:$C$288,0.2),1)</f>
        <v>5</v>
      </c>
      <c r="G281" cm="1">
        <f t="array" ref="G281">_xlfn.IFS(D281&gt;=_xlfn.PERCENTILE.INC($D$2:$D$288,0.8),5,D281&gt;=_xlfn.PERCENTILE.INC($D$2:$D$288,0.6),4,D281&gt;=_xlfn.PERCENTILE.INC($D$2:$D$288,0.4),3,D281&gt;=_xlfn.PERCENTILE.INC($D$2:$D$288,0.2),2,D281&lt;_xlfn.PERCENTILE.INC($D$2:$D$288,0.2),1)</f>
        <v>5</v>
      </c>
      <c r="H281">
        <f t="shared" si="4"/>
        <v>15</v>
      </c>
      <c r="I281" t="str" cm="1">
        <f t="array" ref="I281">_xlfn.IFS(H281&gt;=13,"Best Customers",H281&gt;=10,"Loyal Customers",H281&gt;=7,"Potential Loyal Customers",H281&gt;=4,"Need Attention",TRUE,"At Risk")</f>
        <v>Best Customers</v>
      </c>
    </row>
    <row r="282" spans="1:9">
      <c r="A282" t="s">
        <v>155</v>
      </c>
      <c r="B282" s="4">
        <v>141.65699074073927</v>
      </c>
      <c r="C282">
        <v>3</v>
      </c>
      <c r="D282">
        <v>59.379999999999995</v>
      </c>
      <c r="E282" s="5" cm="1">
        <f t="array" ref="E282">_xlfn.IFS(B282&lt;=_xlfn.PERCENTILE.INC($B$2:$B$288,0.2),5,B282&lt;=_xlfn.PERCENTILE.INC($B$2:$B$288,0.4),4,B282&lt;=_xlfn.PERCENTILE.INC($B$2:$B$288,0.6),3,B282&lt;=_xlfn.PERCENTILE.INC($B$2:$B$288,0.8),2,B282&gt;_xlfn.PERCENTILE.INC($B$2:$B$288,0.8),1)</f>
        <v>2</v>
      </c>
      <c r="F282" cm="1">
        <f t="array" ref="F282">_xlfn.IFS(C282&gt;=_xlfn.PERCENTILE.INC($C$2:$C$288,0.8),5,C282&gt;=_xlfn.PERCENTILE.INC($C$2:$C$288,0.6),4,C282&gt;=_xlfn.PERCENTILE.INC($C$2:$C$288,0.4),3,C282&gt;=_xlfn.PERCENTILE.INC($C$2:$C$288,0.2),2,C282&lt;_xlfn.PERCENTILE.INC($C$2:$C$288,0.2),1)</f>
        <v>3</v>
      </c>
      <c r="G282" cm="1">
        <f t="array" ref="G282">_xlfn.IFS(D282&gt;=_xlfn.PERCENTILE.INC($D$2:$D$288,0.8),5,D282&gt;=_xlfn.PERCENTILE.INC($D$2:$D$288,0.6),4,D282&gt;=_xlfn.PERCENTILE.INC($D$2:$D$288,0.4),3,D282&gt;=_xlfn.PERCENTILE.INC($D$2:$D$288,0.2),2,D282&lt;_xlfn.PERCENTILE.INC($D$2:$D$288,0.2),1)</f>
        <v>3</v>
      </c>
      <c r="H282">
        <f t="shared" si="4"/>
        <v>8</v>
      </c>
      <c r="I282" t="str" cm="1">
        <f t="array" ref="I282">_xlfn.IFS(H282&gt;=13,"Best Customers",H282&gt;=10,"Loyal Customers",H282&gt;=7,"Potential Loyal Customers",H282&gt;=4,"Need Attention",TRUE,"At Risk")</f>
        <v>Potential Loyal Customers</v>
      </c>
    </row>
    <row r="283" spans="1:9">
      <c r="A283" t="s">
        <v>92</v>
      </c>
      <c r="B283" s="4">
        <v>107.65699074073927</v>
      </c>
      <c r="C283">
        <v>5</v>
      </c>
      <c r="D283">
        <v>57.31</v>
      </c>
      <c r="E283" s="5" cm="1">
        <f t="array" ref="E283">_xlfn.IFS(B283&lt;=_xlfn.PERCENTILE.INC($B$2:$B$288,0.2),5,B283&lt;=_xlfn.PERCENTILE.INC($B$2:$B$288,0.4),4,B283&lt;=_xlfn.PERCENTILE.INC($B$2:$B$288,0.6),3,B283&lt;=_xlfn.PERCENTILE.INC($B$2:$B$288,0.8),2,B283&gt;_xlfn.PERCENTILE.INC($B$2:$B$288,0.8),1)</f>
        <v>3</v>
      </c>
      <c r="F283" cm="1">
        <f t="array" ref="F283">_xlfn.IFS(C283&gt;=_xlfn.PERCENTILE.INC($C$2:$C$288,0.8),5,C283&gt;=_xlfn.PERCENTILE.INC($C$2:$C$288,0.6),4,C283&gt;=_xlfn.PERCENTILE.INC($C$2:$C$288,0.4),3,C283&gt;=_xlfn.PERCENTILE.INC($C$2:$C$288,0.2),2,C283&lt;_xlfn.PERCENTILE.INC($C$2:$C$288,0.2),1)</f>
        <v>5</v>
      </c>
      <c r="G283" cm="1">
        <f t="array" ref="G283">_xlfn.IFS(D283&gt;=_xlfn.PERCENTILE.INC($D$2:$D$288,0.8),5,D283&gt;=_xlfn.PERCENTILE.INC($D$2:$D$288,0.6),4,D283&gt;=_xlfn.PERCENTILE.INC($D$2:$D$288,0.4),3,D283&gt;=_xlfn.PERCENTILE.INC($D$2:$D$288,0.2),2,D283&lt;_xlfn.PERCENTILE.INC($D$2:$D$288,0.2),1)</f>
        <v>3</v>
      </c>
      <c r="H283">
        <f t="shared" si="4"/>
        <v>11</v>
      </c>
      <c r="I283" t="str" cm="1">
        <f t="array" ref="I283">_xlfn.IFS(H283&gt;=13,"Best Customers",H283&gt;=10,"Loyal Customers",H283&gt;=7,"Potential Loyal Customers",H283&gt;=4,"Need Attention",TRUE,"At Risk")</f>
        <v>Loyal Customers</v>
      </c>
    </row>
    <row r="284" spans="1:9">
      <c r="A284" t="s">
        <v>58</v>
      </c>
      <c r="B284" s="4">
        <v>62.656990740739275</v>
      </c>
      <c r="C284">
        <v>5</v>
      </c>
      <c r="D284">
        <v>97.41</v>
      </c>
      <c r="E284" s="5" cm="1">
        <f t="array" ref="E284">_xlfn.IFS(B284&lt;=_xlfn.PERCENTILE.INC($B$2:$B$288,0.2),5,B284&lt;=_xlfn.PERCENTILE.INC($B$2:$B$288,0.4),4,B284&lt;=_xlfn.PERCENTILE.INC($B$2:$B$288,0.6),3,B284&lt;=_xlfn.PERCENTILE.INC($B$2:$B$288,0.8),2,B284&gt;_xlfn.PERCENTILE.INC($B$2:$B$288,0.8),1)</f>
        <v>4</v>
      </c>
      <c r="F284" cm="1">
        <f t="array" ref="F284">_xlfn.IFS(C284&gt;=_xlfn.PERCENTILE.INC($C$2:$C$288,0.8),5,C284&gt;=_xlfn.PERCENTILE.INC($C$2:$C$288,0.6),4,C284&gt;=_xlfn.PERCENTILE.INC($C$2:$C$288,0.4),3,C284&gt;=_xlfn.PERCENTILE.INC($C$2:$C$288,0.2),2,C284&lt;_xlfn.PERCENTILE.INC($C$2:$C$288,0.2),1)</f>
        <v>5</v>
      </c>
      <c r="G284" cm="1">
        <f t="array" ref="G284">_xlfn.IFS(D284&gt;=_xlfn.PERCENTILE.INC($D$2:$D$288,0.8),5,D284&gt;=_xlfn.PERCENTILE.INC($D$2:$D$288,0.6),4,D284&gt;=_xlfn.PERCENTILE.INC($D$2:$D$288,0.4),3,D284&gt;=_xlfn.PERCENTILE.INC($D$2:$D$288,0.2),2,D284&lt;_xlfn.PERCENTILE.INC($D$2:$D$288,0.2),1)</f>
        <v>5</v>
      </c>
      <c r="H284">
        <f t="shared" si="4"/>
        <v>14</v>
      </c>
      <c r="I284" t="str" cm="1">
        <f t="array" ref="I284">_xlfn.IFS(H284&gt;=13,"Best Customers",H284&gt;=10,"Loyal Customers",H284&gt;=7,"Potential Loyal Customers",H284&gt;=4,"Need Attention",TRUE,"At Risk")</f>
        <v>Best Customers</v>
      </c>
    </row>
    <row r="285" spans="1:9">
      <c r="A285" t="s">
        <v>228</v>
      </c>
      <c r="B285" s="4">
        <v>22.656990740739275</v>
      </c>
      <c r="C285">
        <v>2</v>
      </c>
      <c r="D285">
        <v>41.12</v>
      </c>
      <c r="E285" s="5" cm="1">
        <f t="array" ref="E285">_xlfn.IFS(B285&lt;=_xlfn.PERCENTILE.INC($B$2:$B$288,0.2),5,B285&lt;=_xlfn.PERCENTILE.INC($B$2:$B$288,0.4),4,B285&lt;=_xlfn.PERCENTILE.INC($B$2:$B$288,0.6),3,B285&lt;=_xlfn.PERCENTILE.INC($B$2:$B$288,0.8),2,B285&gt;_xlfn.PERCENTILE.INC($B$2:$B$288,0.8),1)</f>
        <v>5</v>
      </c>
      <c r="F285" cm="1">
        <f t="array" ref="F285">_xlfn.IFS(C285&gt;=_xlfn.PERCENTILE.INC($C$2:$C$288,0.8),5,C285&gt;=_xlfn.PERCENTILE.INC($C$2:$C$288,0.6),4,C285&gt;=_xlfn.PERCENTILE.INC($C$2:$C$288,0.4),3,C285&gt;=_xlfn.PERCENTILE.INC($C$2:$C$288,0.2),2,C285&lt;_xlfn.PERCENTILE.INC($C$2:$C$288,0.2),1)</f>
        <v>2</v>
      </c>
      <c r="G285" cm="1">
        <f t="array" ref="G285">_xlfn.IFS(D285&gt;=_xlfn.PERCENTILE.INC($D$2:$D$288,0.8),5,D285&gt;=_xlfn.PERCENTILE.INC($D$2:$D$288,0.6),4,D285&gt;=_xlfn.PERCENTILE.INC($D$2:$D$288,0.4),3,D285&gt;=_xlfn.PERCENTILE.INC($D$2:$D$288,0.2),2,D285&lt;_xlfn.PERCENTILE.INC($D$2:$D$288,0.2),1)</f>
        <v>2</v>
      </c>
      <c r="H285">
        <f t="shared" si="4"/>
        <v>9</v>
      </c>
      <c r="I285" t="str" cm="1">
        <f t="array" ref="I285">_xlfn.IFS(H285&gt;=13,"Best Customers",H285&gt;=10,"Loyal Customers",H285&gt;=7,"Potential Loyal Customers",H285&gt;=4,"Need Attention",TRUE,"At Risk")</f>
        <v>Potential Loyal Customers</v>
      </c>
    </row>
    <row r="286" spans="1:9">
      <c r="A286" t="s">
        <v>1052</v>
      </c>
      <c r="B286" s="4">
        <v>64.656990740739275</v>
      </c>
      <c r="C286">
        <v>2</v>
      </c>
      <c r="D286">
        <v>28.03</v>
      </c>
      <c r="E286" s="5" cm="1">
        <f t="array" ref="E286">_xlfn.IFS(B286&lt;=_xlfn.PERCENTILE.INC($B$2:$B$288,0.2),5,B286&lt;=_xlfn.PERCENTILE.INC($B$2:$B$288,0.4),4,B286&lt;=_xlfn.PERCENTILE.INC($B$2:$B$288,0.6),3,B286&lt;=_xlfn.PERCENTILE.INC($B$2:$B$288,0.8),2,B286&gt;_xlfn.PERCENTILE.INC($B$2:$B$288,0.8),1)</f>
        <v>4</v>
      </c>
      <c r="F286" cm="1">
        <f t="array" ref="F286">_xlfn.IFS(C286&gt;=_xlfn.PERCENTILE.INC($C$2:$C$288,0.8),5,C286&gt;=_xlfn.PERCENTILE.INC($C$2:$C$288,0.6),4,C286&gt;=_xlfn.PERCENTILE.INC($C$2:$C$288,0.4),3,C286&gt;=_xlfn.PERCENTILE.INC($C$2:$C$288,0.2),2,C286&lt;_xlfn.PERCENTILE.INC($C$2:$C$288,0.2),1)</f>
        <v>2</v>
      </c>
      <c r="G286" cm="1">
        <f t="array" ref="G286">_xlfn.IFS(D286&gt;=_xlfn.PERCENTILE.INC($D$2:$D$288,0.8),5,D286&gt;=_xlfn.PERCENTILE.INC($D$2:$D$288,0.6),4,D286&gt;=_xlfn.PERCENTILE.INC($D$2:$D$288,0.4),3,D286&gt;=_xlfn.PERCENTILE.INC($D$2:$D$288,0.2),2,D286&lt;_xlfn.PERCENTILE.INC($D$2:$D$288,0.2),1)</f>
        <v>2</v>
      </c>
      <c r="H286">
        <f t="shared" si="4"/>
        <v>8</v>
      </c>
      <c r="I286" t="str" cm="1">
        <f t="array" ref="I286">_xlfn.IFS(H286&gt;=13,"Best Customers",H286&gt;=10,"Loyal Customers",H286&gt;=7,"Potential Loyal Customers",H286&gt;=4,"Need Attention",TRUE,"At Risk")</f>
        <v>Potential Loyal Customers</v>
      </c>
    </row>
    <row r="287" spans="1:9">
      <c r="A287" t="s">
        <v>185</v>
      </c>
      <c r="B287" s="4">
        <v>22.656990740739275</v>
      </c>
      <c r="C287">
        <v>2</v>
      </c>
      <c r="D287">
        <v>36.299999999999997</v>
      </c>
      <c r="E287" s="5" cm="1">
        <f t="array" ref="E287">_xlfn.IFS(B287&lt;=_xlfn.PERCENTILE.INC($B$2:$B$288,0.2),5,B287&lt;=_xlfn.PERCENTILE.INC($B$2:$B$288,0.4),4,B287&lt;=_xlfn.PERCENTILE.INC($B$2:$B$288,0.6),3,B287&lt;=_xlfn.PERCENTILE.INC($B$2:$B$288,0.8),2,B287&gt;_xlfn.PERCENTILE.INC($B$2:$B$288,0.8),1)</f>
        <v>5</v>
      </c>
      <c r="F287" cm="1">
        <f t="array" ref="F287">_xlfn.IFS(C287&gt;=_xlfn.PERCENTILE.INC($C$2:$C$288,0.8),5,C287&gt;=_xlfn.PERCENTILE.INC($C$2:$C$288,0.6),4,C287&gt;=_xlfn.PERCENTILE.INC($C$2:$C$288,0.4),3,C287&gt;=_xlfn.PERCENTILE.INC($C$2:$C$288,0.2),2,C287&lt;_xlfn.PERCENTILE.INC($C$2:$C$288,0.2),1)</f>
        <v>2</v>
      </c>
      <c r="G287" cm="1">
        <f t="array" ref="G287">_xlfn.IFS(D287&gt;=_xlfn.PERCENTILE.INC($D$2:$D$288,0.8),5,D287&gt;=_xlfn.PERCENTILE.INC($D$2:$D$288,0.6),4,D287&gt;=_xlfn.PERCENTILE.INC($D$2:$D$288,0.4),3,D287&gt;=_xlfn.PERCENTILE.INC($D$2:$D$288,0.2),2,D287&lt;_xlfn.PERCENTILE.INC($D$2:$D$288,0.2),1)</f>
        <v>2</v>
      </c>
      <c r="H287">
        <f t="shared" si="4"/>
        <v>9</v>
      </c>
      <c r="I287" t="str" cm="1">
        <f t="array" ref="I287">_xlfn.IFS(H287&gt;=13,"Best Customers",H287&gt;=10,"Loyal Customers",H287&gt;=7,"Potential Loyal Customers",H287&gt;=4,"Need Attention",TRUE,"At Risk")</f>
        <v>Potential Loyal Customers</v>
      </c>
    </row>
    <row r="288" spans="1:9">
      <c r="A288" t="s">
        <v>1000</v>
      </c>
      <c r="B288" s="4">
        <v>131.65699074073927</v>
      </c>
      <c r="C288">
        <v>2</v>
      </c>
      <c r="D288">
        <v>48.06</v>
      </c>
      <c r="E288" s="5" cm="1">
        <f t="array" ref="E288">_xlfn.IFS(B288&lt;=_xlfn.PERCENTILE.INC($B$2:$B$288,0.2),5,B288&lt;=_xlfn.PERCENTILE.INC($B$2:$B$288,0.4),4,B288&lt;=_xlfn.PERCENTILE.INC($B$2:$B$288,0.6),3,B288&lt;=_xlfn.PERCENTILE.INC($B$2:$B$288,0.8),2,B288&gt;_xlfn.PERCENTILE.INC($B$2:$B$288,0.8),1)</f>
        <v>2</v>
      </c>
      <c r="F288" cm="1">
        <f t="array" ref="F288">_xlfn.IFS(C288&gt;=_xlfn.PERCENTILE.INC($C$2:$C$288,0.8),5,C288&gt;=_xlfn.PERCENTILE.INC($C$2:$C$288,0.6),4,C288&gt;=_xlfn.PERCENTILE.INC($C$2:$C$288,0.4),3,C288&gt;=_xlfn.PERCENTILE.INC($C$2:$C$288,0.2),2,C288&lt;_xlfn.PERCENTILE.INC($C$2:$C$288,0.2),1)</f>
        <v>2</v>
      </c>
      <c r="G288" cm="1">
        <f t="array" ref="G288">_xlfn.IFS(D288&gt;=_xlfn.PERCENTILE.INC($D$2:$D$288,0.8),5,D288&gt;=_xlfn.PERCENTILE.INC($D$2:$D$288,0.6),4,D288&gt;=_xlfn.PERCENTILE.INC($D$2:$D$288,0.4),3,D288&gt;=_xlfn.PERCENTILE.INC($D$2:$D$288,0.2),2,D288&lt;_xlfn.PERCENTILE.INC($D$2:$D$288,0.2),1)</f>
        <v>3</v>
      </c>
      <c r="H288">
        <f t="shared" si="4"/>
        <v>7</v>
      </c>
      <c r="I288" t="str" cm="1">
        <f t="array" ref="I288">_xlfn.IFS(H288&gt;=13,"Best Customers",H288&gt;=10,"Loyal Customers",H288&gt;=7,"Potential Loyal Customers",H288&gt;=4,"Need Attention",TRUE,"At Risk")</f>
        <v>Potential Loyal Customers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0721-B466-43FE-93AA-EBCE4D608681}">
  <dimension ref="A3:B9"/>
  <sheetViews>
    <sheetView workbookViewId="0">
      <selection activeCell="B15" sqref="B15"/>
    </sheetView>
  </sheetViews>
  <sheetFormatPr defaultRowHeight="15"/>
  <cols>
    <col min="1" max="1" width="23.5703125" bestFit="1" customWidth="1"/>
    <col min="2" max="2" width="20.5703125" bestFit="1" customWidth="1"/>
    <col min="3" max="3" width="19" bestFit="1" customWidth="1"/>
  </cols>
  <sheetData>
    <row r="3" spans="1:2">
      <c r="A3" s="2" t="s">
        <v>1310</v>
      </c>
      <c r="B3" t="s">
        <v>1311</v>
      </c>
    </row>
    <row r="4" spans="1:2">
      <c r="A4" t="s">
        <v>1312</v>
      </c>
      <c r="B4" s="3">
        <v>13</v>
      </c>
    </row>
    <row r="5" spans="1:2">
      <c r="A5" t="s">
        <v>1313</v>
      </c>
      <c r="B5" s="3">
        <v>61</v>
      </c>
    </row>
    <row r="6" spans="1:2">
      <c r="A6" t="s">
        <v>1314</v>
      </c>
      <c r="B6" s="3">
        <v>75</v>
      </c>
    </row>
    <row r="7" spans="1:2">
      <c r="A7" t="s">
        <v>1315</v>
      </c>
      <c r="B7" s="3">
        <v>57</v>
      </c>
    </row>
    <row r="8" spans="1:2">
      <c r="A8" t="s">
        <v>1316</v>
      </c>
      <c r="B8" s="3">
        <v>81</v>
      </c>
    </row>
    <row r="9" spans="1:2">
      <c r="A9" t="s">
        <v>1305</v>
      </c>
      <c r="B9" s="3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2025-11-17T17:38:44Z</dcterms:created>
  <dcterms:modified xsi:type="dcterms:W3CDTF">2025-11-17T19:48:10Z</dcterms:modified>
  <cp:category/>
  <cp:contentStatus/>
</cp:coreProperties>
</file>